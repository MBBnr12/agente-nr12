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.sharepoint.com/sites/TMOLF1-NR12/Shared Documents/General/Agente NR12 - Base Oficial/"/>
    </mc:Choice>
  </mc:AlternateContent>
  <xr:revisionPtr revIDLastSave="1767" documentId="8_{ADDA2DA9-B9F5-4FFD-BBB8-25992D86A6E4}" xr6:coauthVersionLast="47" xr6:coauthVersionMax="47" xr10:uidLastSave="{CB562A79-11E0-4A4D-BC76-8EC69601F82F}"/>
  <bookViews>
    <workbookView xWindow="-120" yWindow="-120" windowWidth="29040" windowHeight="15720" xr2:uid="{362381F2-BE80-41C3-96F4-C764220D70CB}"/>
  </bookViews>
  <sheets>
    <sheet name="NR12 2026" sheetId="8" r:id="rId1"/>
    <sheet name="Planilha1" sheetId="9" r:id="rId2"/>
  </sheets>
  <definedNames>
    <definedName name="_xlnm._FilterDatabase" localSheetId="0" hidden="1">'NR12 2026'!$A$1:$AC$88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3" i="8" l="1"/>
  <c r="O73" i="8"/>
  <c r="P56" i="8"/>
  <c r="O56" i="8"/>
  <c r="P87" i="8"/>
  <c r="O87" i="8"/>
  <c r="P88" i="8"/>
  <c r="P86" i="8"/>
  <c r="P85" i="8"/>
  <c r="P64" i="8"/>
  <c r="P51" i="8"/>
  <c r="P63" i="8"/>
  <c r="P62" i="8"/>
  <c r="P61" i="8"/>
  <c r="P60" i="8"/>
  <c r="P59" i="8"/>
  <c r="P58" i="8"/>
  <c r="P23" i="8"/>
  <c r="P10" i="8"/>
  <c r="P9" i="8"/>
  <c r="P72" i="8"/>
  <c r="P84" i="8"/>
  <c r="P75" i="8"/>
  <c r="P57" i="8"/>
  <c r="P55" i="8"/>
  <c r="P74" i="8"/>
  <c r="P83" i="8"/>
  <c r="P71" i="8"/>
  <c r="P54" i="8"/>
  <c r="P82" i="8"/>
  <c r="P81" i="8"/>
  <c r="P8" i="8"/>
  <c r="P3" i="8"/>
  <c r="P80" i="8"/>
  <c r="P70" i="8"/>
  <c r="P2" i="8"/>
  <c r="P69" i="8"/>
  <c r="P79" i="8"/>
  <c r="P68" i="8"/>
  <c r="P53" i="8"/>
  <c r="P67" i="8"/>
  <c r="P66" i="8"/>
  <c r="P78" i="8"/>
  <c r="P77" i="8"/>
  <c r="P76" i="8"/>
  <c r="P46" i="8"/>
  <c r="P50" i="8"/>
  <c r="P39" i="8"/>
  <c r="P36" i="8"/>
  <c r="P42" i="8"/>
  <c r="P41" i="8"/>
  <c r="P40" i="8"/>
  <c r="P65" i="8"/>
  <c r="P38" i="8"/>
  <c r="P37" i="8"/>
  <c r="P32" i="8"/>
  <c r="P35" i="8"/>
  <c r="P34" i="8"/>
  <c r="P33" i="8"/>
  <c r="P22" i="8"/>
  <c r="P21" i="8"/>
  <c r="P20" i="8"/>
  <c r="P25" i="8"/>
  <c r="P31" i="8"/>
  <c r="P27" i="8"/>
  <c r="P30" i="8"/>
  <c r="P13" i="8"/>
  <c r="P29" i="8"/>
  <c r="P49" i="8"/>
  <c r="P48" i="8"/>
  <c r="P11" i="8"/>
  <c r="P47" i="8"/>
  <c r="P19" i="8"/>
  <c r="P18" i="8"/>
  <c r="P17" i="8"/>
  <c r="P16" i="8"/>
  <c r="P15" i="8"/>
  <c r="P14" i="8"/>
  <c r="P24" i="8"/>
  <c r="P12" i="8"/>
  <c r="P45" i="8"/>
  <c r="P44" i="8"/>
  <c r="P28" i="8"/>
  <c r="P26" i="8"/>
  <c r="P7" i="8"/>
  <c r="P6" i="8"/>
  <c r="P5" i="8"/>
  <c r="P4" i="8"/>
  <c r="P52" i="8"/>
  <c r="P43" i="8"/>
  <c r="O88" i="8"/>
  <c r="O86" i="8"/>
  <c r="O85" i="8"/>
  <c r="O64" i="8"/>
  <c r="O51" i="8"/>
  <c r="O63" i="8"/>
  <c r="O62" i="8"/>
  <c r="O61" i="8"/>
  <c r="O60" i="8"/>
  <c r="O59" i="8"/>
  <c r="O58" i="8"/>
  <c r="O23" i="8"/>
  <c r="O10" i="8"/>
  <c r="O9" i="8"/>
  <c r="O72" i="8"/>
  <c r="O84" i="8"/>
  <c r="O75" i="8"/>
  <c r="O57" i="8"/>
  <c r="O55" i="8"/>
  <c r="O74" i="8"/>
  <c r="O83" i="8"/>
  <c r="O71" i="8"/>
  <c r="O54" i="8"/>
  <c r="O82" i="8"/>
  <c r="O81" i="8"/>
  <c r="O8" i="8"/>
  <c r="O3" i="8"/>
  <c r="O80" i="8"/>
  <c r="O70" i="8"/>
  <c r="O2" i="8"/>
  <c r="O69" i="8"/>
  <c r="O79" i="8"/>
  <c r="O68" i="8"/>
  <c r="O53" i="8"/>
  <c r="O67" i="8"/>
  <c r="O66" i="8"/>
  <c r="O78" i="8"/>
  <c r="O77" i="8"/>
  <c r="O76" i="8"/>
  <c r="O46" i="8"/>
  <c r="O50" i="8"/>
  <c r="O39" i="8"/>
  <c r="O36" i="8"/>
  <c r="O42" i="8"/>
  <c r="O41" i="8"/>
  <c r="O40" i="8"/>
  <c r="O65" i="8"/>
  <c r="O38" i="8"/>
  <c r="O37" i="8"/>
  <c r="O32" i="8"/>
  <c r="O35" i="8"/>
  <c r="O34" i="8"/>
  <c r="O33" i="8"/>
  <c r="O22" i="8"/>
  <c r="O21" i="8"/>
  <c r="O20" i="8"/>
  <c r="O25" i="8"/>
  <c r="O31" i="8"/>
  <c r="O27" i="8"/>
  <c r="O30" i="8"/>
  <c r="O13" i="8"/>
  <c r="O29" i="8"/>
  <c r="O49" i="8"/>
  <c r="O48" i="8"/>
  <c r="O11" i="8"/>
  <c r="O47" i="8"/>
  <c r="O19" i="8"/>
  <c r="O18" i="8"/>
  <c r="O17" i="8"/>
  <c r="O16" i="8"/>
  <c r="O15" i="8"/>
  <c r="O14" i="8"/>
  <c r="O24" i="8"/>
  <c r="O12" i="8"/>
  <c r="O45" i="8"/>
  <c r="O44" i="8"/>
  <c r="O28" i="8"/>
  <c r="O26" i="8"/>
  <c r="O7" i="8"/>
  <c r="O6" i="8"/>
  <c r="O5" i="8"/>
  <c r="O4" i="8"/>
  <c r="O52" i="8"/>
  <c r="O4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tc={321EDF8A-69A1-4802-BCBC-B3BDDB1F31B6}</author>
  </authors>
  <commentList>
    <comment ref="U46" authorId="0" shapeId="0" xr:uid="{321EDF8A-69A1-4802-BCBC-B3BDDB1F31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Apresentar somente após a conclusão das pendências de 2025
Previsão de finalizar em ago 26</t>
      </text>
    </comment>
  </commentList>
</comments>
</file>

<file path=xl/sharedStrings.xml><?xml version="1.0" encoding="utf-8"?>
<sst xmlns="http://schemas.openxmlformats.org/spreadsheetml/2006/main" count="769" uniqueCount="327">
  <si>
    <t xml:space="preserve">Sick </t>
  </si>
  <si>
    <t xml:space="preserve">Inventário </t>
  </si>
  <si>
    <t>Nome da Maquina</t>
  </si>
  <si>
    <t xml:space="preserve">Fabricante </t>
  </si>
  <si>
    <t xml:space="preserve">Prédio </t>
  </si>
  <si>
    <t xml:space="preserve">Centro de Custo </t>
  </si>
  <si>
    <t xml:space="preserve">Fornecedor </t>
  </si>
  <si>
    <t xml:space="preserve">VALOR CONTRATADO </t>
  </si>
  <si>
    <t>IO</t>
  </si>
  <si>
    <t>B9</t>
  </si>
  <si>
    <t>CONTA SAP</t>
  </si>
  <si>
    <t>PR</t>
  </si>
  <si>
    <t>PO</t>
  </si>
  <si>
    <t xml:space="preserve">OBSERVAÇÕES </t>
  </si>
  <si>
    <t xml:space="preserve">90% MATERIAL </t>
  </si>
  <si>
    <t>10% LAUDO</t>
  </si>
  <si>
    <t>Levantamento de Dados</t>
  </si>
  <si>
    <t>AR Entregue em:</t>
  </si>
  <si>
    <t xml:space="preserve">STATUS AR : </t>
  </si>
  <si>
    <t xml:space="preserve">Pré Projeto ENTREGUE EM: </t>
  </si>
  <si>
    <t>Validação do Pré Projeto</t>
  </si>
  <si>
    <t xml:space="preserve">ADEQUAÇÃO PREVISTA </t>
  </si>
  <si>
    <t>ADEQUAÇÃO REALIZADA</t>
  </si>
  <si>
    <t>AVALIADOR SESMT</t>
  </si>
  <si>
    <t>90% PAGO EM:</t>
  </si>
  <si>
    <t>10% PAGO EM:</t>
  </si>
  <si>
    <t xml:space="preserve">NF </t>
  </si>
  <si>
    <t xml:space="preserve">STATUS </t>
  </si>
  <si>
    <t>j00019567</t>
  </si>
  <si>
    <t>Rascadora de Engrenagens</t>
  </si>
  <si>
    <t>Gleason-Hurth</t>
  </si>
  <si>
    <t>CC 173/4</t>
  </si>
  <si>
    <t>Vetor</t>
  </si>
  <si>
    <t>B908000030281</t>
  </si>
  <si>
    <t>PR 9554311715</t>
  </si>
  <si>
    <t>j00019635</t>
  </si>
  <si>
    <t xml:space="preserve">Rebarbadora </t>
  </si>
  <si>
    <t>Samputensili</t>
  </si>
  <si>
    <t>B908000030280</t>
  </si>
  <si>
    <t>j00019217</t>
  </si>
  <si>
    <t>Chanfradora de engrenagens</t>
  </si>
  <si>
    <t>Contric</t>
  </si>
  <si>
    <t>B908000030282</t>
  </si>
  <si>
    <t>PR 9554311562</t>
  </si>
  <si>
    <t>APROVADO</t>
  </si>
  <si>
    <t>Renato Carrilho</t>
  </si>
  <si>
    <t>j00019562</t>
  </si>
  <si>
    <t xml:space="preserve">Retifica </t>
  </si>
  <si>
    <t>Gleason</t>
  </si>
  <si>
    <t>B908000030283</t>
  </si>
  <si>
    <t>j00019660</t>
  </si>
  <si>
    <t>Lavadora</t>
  </si>
  <si>
    <t>Multiflux</t>
  </si>
  <si>
    <t>Lemi</t>
  </si>
  <si>
    <t>B908000030285 </t>
  </si>
  <si>
    <t>PR 9554311633</t>
  </si>
  <si>
    <t>j00019661</t>
  </si>
  <si>
    <t>CC 156/4</t>
  </si>
  <si>
    <t>B908000030286</t>
  </si>
  <si>
    <t>j00019569</t>
  </si>
  <si>
    <t>Fresadora</t>
  </si>
  <si>
    <t>B908000030287</t>
  </si>
  <si>
    <t>j00019568</t>
  </si>
  <si>
    <t>B908000030288</t>
  </si>
  <si>
    <t>j00019907</t>
  </si>
  <si>
    <t>Chanfradora</t>
  </si>
  <si>
    <t>B908000030289</t>
  </si>
  <si>
    <t>j00019897</t>
  </si>
  <si>
    <t>Rascadora</t>
  </si>
  <si>
    <t>Sicmat</t>
  </si>
  <si>
    <t>B908000030290</t>
  </si>
  <si>
    <t>j00229866</t>
  </si>
  <si>
    <t>Maquina de lavar</t>
  </si>
  <si>
    <t>Promotec service</t>
  </si>
  <si>
    <t>CC 174/4</t>
  </si>
  <si>
    <t>B908000030293</t>
  </si>
  <si>
    <t>j00019548</t>
  </si>
  <si>
    <t>Artet</t>
  </si>
  <si>
    <t>B908000030219</t>
  </si>
  <si>
    <t>similar j00195412
j00019544
j00019543
j00019548
j00019550</t>
  </si>
  <si>
    <t>j00029411</t>
  </si>
  <si>
    <t>Máquina de lavar</t>
  </si>
  <si>
    <t>Kivertron</t>
  </si>
  <si>
    <t>B908000030231</t>
  </si>
  <si>
    <t>similar j00229414
j00229952
j00263523
j00229823
j00229774
j00229864
j00229776
j00229865
j00229777
j00229412
j00029411
j00229822
j00229824</t>
  </si>
  <si>
    <t>j00012771</t>
  </si>
  <si>
    <t>Têmpera por indução</t>
  </si>
  <si>
    <t>Multi Flux</t>
  </si>
  <si>
    <t>CC 251/4</t>
  </si>
  <si>
    <t>B908000030295</t>
  </si>
  <si>
    <t>j00229823</t>
  </si>
  <si>
    <t>Máquina de Lavar</t>
  </si>
  <si>
    <t>CC 155/4</t>
  </si>
  <si>
    <t>B908000030224</t>
  </si>
  <si>
    <t>j01001520</t>
  </si>
  <si>
    <t>Virador de carcaça de eixo</t>
  </si>
  <si>
    <t>Patrizzi</t>
  </si>
  <si>
    <t>CC 153/4</t>
  </si>
  <si>
    <t>B908000030274</t>
  </si>
  <si>
    <t>j00229774</t>
  </si>
  <si>
    <t>B908000030225</t>
  </si>
  <si>
    <t>j00229864</t>
  </si>
  <si>
    <t>Máquina  de lavar</t>
  </si>
  <si>
    <t>B908000030226</t>
  </si>
  <si>
    <t>J00409151</t>
  </si>
  <si>
    <t>Rebarbadeira</t>
  </si>
  <si>
    <t>Sumont</t>
  </si>
  <si>
    <t>CC 158/4</t>
  </si>
  <si>
    <t>B908000030317</t>
  </si>
  <si>
    <t>j00019544</t>
  </si>
  <si>
    <t>CC 157/4</t>
  </si>
  <si>
    <t>B908000030217</t>
  </si>
  <si>
    <t>j00019016</t>
  </si>
  <si>
    <t xml:space="preserve">Rascadora </t>
  </si>
  <si>
    <t>Gleason Hurth</t>
  </si>
  <si>
    <t>B908000030291</t>
  </si>
  <si>
    <t>j00019015</t>
  </si>
  <si>
    <t>B908000030292</t>
  </si>
  <si>
    <t>j00019239</t>
  </si>
  <si>
    <t>Afiadora</t>
  </si>
  <si>
    <t>B908000030294</t>
  </si>
  <si>
    <t>j00019550</t>
  </si>
  <si>
    <t>B908000030220</t>
  </si>
  <si>
    <t>j00254441</t>
  </si>
  <si>
    <t>Drier</t>
  </si>
  <si>
    <t>CC 151/4</t>
  </si>
  <si>
    <t>B908000030271</t>
  </si>
  <si>
    <t>j00229952</t>
  </si>
  <si>
    <t>B908000030222</t>
  </si>
  <si>
    <t>j00229951</t>
  </si>
  <si>
    <t>[informação faltante]</t>
  </si>
  <si>
    <t>B908000030273</t>
  </si>
  <si>
    <t>j00019543</t>
  </si>
  <si>
    <t>B908000030218</t>
  </si>
  <si>
    <t>j00019692</t>
  </si>
  <si>
    <t>Torno</t>
  </si>
  <si>
    <t>Mori Seiki</t>
  </si>
  <si>
    <t>B908000030213</t>
  </si>
  <si>
    <t>similar j00019692
j00019812
j00019815</t>
  </si>
  <si>
    <t>j00019812</t>
  </si>
  <si>
    <t>B908000030214</t>
  </si>
  <si>
    <t>j00019815</t>
  </si>
  <si>
    <t>B908000030215</t>
  </si>
  <si>
    <t>j00229776</t>
  </si>
  <si>
    <t>B908000030227</t>
  </si>
  <si>
    <t>j00229865</t>
  </si>
  <si>
    <t>B908000030228</t>
  </si>
  <si>
    <t>j00229777</t>
  </si>
  <si>
    <t>B908000030229</t>
  </si>
  <si>
    <t>j00195412</t>
  </si>
  <si>
    <t>B908000030216</t>
  </si>
  <si>
    <t>j00263523</t>
  </si>
  <si>
    <t>B908000030223 </t>
  </si>
  <si>
    <t>j00009116_1000500</t>
  </si>
  <si>
    <t>Virador de Carcaça</t>
  </si>
  <si>
    <t>B908000030276</t>
  </si>
  <si>
    <t>j00019938</t>
  </si>
  <si>
    <t>Laminadora</t>
  </si>
  <si>
    <t>Boehringer</t>
  </si>
  <si>
    <t>B908000030277</t>
  </si>
  <si>
    <t>j00254440</t>
  </si>
  <si>
    <t>Cobertec</t>
  </si>
  <si>
    <t>j00229822</t>
  </si>
  <si>
    <t>B908000030232</t>
  </si>
  <si>
    <t>j00229824</t>
  </si>
  <si>
    <t>Máquina de Lavar Peças</t>
  </si>
  <si>
    <t>B908000030233</t>
  </si>
  <si>
    <t>J00260834</t>
  </si>
  <si>
    <t>Elevador de carga</t>
  </si>
  <si>
    <t>Fascitec Automação</t>
  </si>
  <si>
    <t>B908000030234</t>
  </si>
  <si>
    <t>similar J00260850 J00260834</t>
  </si>
  <si>
    <t>J00260850</t>
  </si>
  <si>
    <t>B908000030235</t>
  </si>
  <si>
    <t>j00018965</t>
  </si>
  <si>
    <t>Heller</t>
  </si>
  <si>
    <t>CC 135/4</t>
  </si>
  <si>
    <t>B908000030209</t>
  </si>
  <si>
    <t>similar 18965, 19209</t>
  </si>
  <si>
    <t>j00019656</t>
  </si>
  <si>
    <t>Powertemp</t>
  </si>
  <si>
    <t>B908000030239</t>
  </si>
  <si>
    <t>j00018990</t>
  </si>
  <si>
    <t>Tempera por indução</t>
  </si>
  <si>
    <t>AEG Elotherm</t>
  </si>
  <si>
    <t>B908000030241</t>
  </si>
  <si>
    <t>j00019213</t>
  </si>
  <si>
    <t>Maquina de têmpera</t>
  </si>
  <si>
    <t>EFD</t>
  </si>
  <si>
    <t>B908000030242</t>
  </si>
  <si>
    <t>j00013800</t>
  </si>
  <si>
    <t>Rosqueadora</t>
  </si>
  <si>
    <t>Grob</t>
  </si>
  <si>
    <t>CC 144/4</t>
  </si>
  <si>
    <t>B908000030256</t>
  </si>
  <si>
    <t>j00017934</t>
  </si>
  <si>
    <t>Mandriladora</t>
  </si>
  <si>
    <t>B908000030257</t>
  </si>
  <si>
    <t>j00018053</t>
  </si>
  <si>
    <t>Thyssen</t>
  </si>
  <si>
    <t>B908000030258</t>
  </si>
  <si>
    <t>j00018091</t>
  </si>
  <si>
    <t>B908000030259</t>
  </si>
  <si>
    <t>j00018792</t>
  </si>
  <si>
    <t>B908000030260</t>
  </si>
  <si>
    <t>j00018593</t>
  </si>
  <si>
    <t>Retifica</t>
  </si>
  <si>
    <t>Zema</t>
  </si>
  <si>
    <t>CC 145/4</t>
  </si>
  <si>
    <t>B908000030270</t>
  </si>
  <si>
    <t>j00019781</t>
  </si>
  <si>
    <t>Lavadeira</t>
  </si>
  <si>
    <t>B908000030261</t>
  </si>
  <si>
    <t>j00019476</t>
  </si>
  <si>
    <t>Centro de usinagem</t>
  </si>
  <si>
    <t>Famup</t>
  </si>
  <si>
    <t>CC 946/4</t>
  </si>
  <si>
    <t>Almeida e Camargo</t>
  </si>
  <si>
    <t>B908000030299</t>
  </si>
  <si>
    <t>PR 9554311541</t>
  </si>
  <si>
    <t>REPROVADO</t>
  </si>
  <si>
    <t>j00019479</t>
  </si>
  <si>
    <t>Torno CNC</t>
  </si>
  <si>
    <t>Deckel Maho</t>
  </si>
  <si>
    <t>B908000030300</t>
  </si>
  <si>
    <t>j00018769</t>
  </si>
  <si>
    <t>HELLER</t>
  </si>
  <si>
    <t>CC 142/4</t>
  </si>
  <si>
    <t>B908000030250</t>
  </si>
  <si>
    <t>j00019654</t>
  </si>
  <si>
    <t>TECNOFIRMA</t>
  </si>
  <si>
    <t>B908000030253</t>
  </si>
  <si>
    <t>J00019478</t>
  </si>
  <si>
    <t>Fresadora Universal</t>
  </si>
  <si>
    <t>B908000030301</t>
  </si>
  <si>
    <t>j00019482</t>
  </si>
  <si>
    <t>Deckel maho</t>
  </si>
  <si>
    <t>B908000030302</t>
  </si>
  <si>
    <t>j00019138</t>
  </si>
  <si>
    <t>Danobat</t>
  </si>
  <si>
    <t>B908000030243</t>
  </si>
  <si>
    <t>j00019759</t>
  </si>
  <si>
    <t>Torno especial</t>
  </si>
  <si>
    <t>Huller</t>
  </si>
  <si>
    <t>B908000030244</t>
  </si>
  <si>
    <t>j00019756</t>
  </si>
  <si>
    <t>Brunidora</t>
  </si>
  <si>
    <t>Gehring</t>
  </si>
  <si>
    <t>B908000030245</t>
  </si>
  <si>
    <t>j00018054</t>
  </si>
  <si>
    <t>Mandrilhadora</t>
  </si>
  <si>
    <t>B908000030262</t>
  </si>
  <si>
    <t>j00019695</t>
  </si>
  <si>
    <t>Retífica</t>
  </si>
  <si>
    <t>B908000030263</t>
  </si>
  <si>
    <t>j00019764</t>
  </si>
  <si>
    <t>Krauseco Mauser</t>
  </si>
  <si>
    <t>B908000030264</t>
  </si>
  <si>
    <t>j00017789</t>
  </si>
  <si>
    <t>Nagel</t>
  </si>
  <si>
    <t>B908000030265</t>
  </si>
  <si>
    <t>j00322332</t>
  </si>
  <si>
    <t>MBB</t>
  </si>
  <si>
    <t>B908000030269</t>
  </si>
  <si>
    <t>j00019670</t>
  </si>
  <si>
    <t>Briner</t>
  </si>
  <si>
    <t>B908000030255</t>
  </si>
  <si>
    <t>J00274440</t>
  </si>
  <si>
    <t>Aplicadora De Silicone</t>
  </si>
  <si>
    <t>CC 102/4</t>
  </si>
  <si>
    <t>B908000030236</t>
  </si>
  <si>
    <t>j00019767</t>
  </si>
  <si>
    <t xml:space="preserve">Torno </t>
  </si>
  <si>
    <t>B908000030303</t>
  </si>
  <si>
    <t>j00019477</t>
  </si>
  <si>
    <t>Centro de Usinagem</t>
  </si>
  <si>
    <t>B908000030304</t>
  </si>
  <si>
    <t>j00019481</t>
  </si>
  <si>
    <t>B908000030305</t>
  </si>
  <si>
    <t>j00019480</t>
  </si>
  <si>
    <t>B908000030306</t>
  </si>
  <si>
    <t>APROVADO CONDICIONALMENTE</t>
  </si>
  <si>
    <t>j00019880</t>
  </si>
  <si>
    <t>Torno Cnc</t>
  </si>
  <si>
    <t>DMG</t>
  </si>
  <si>
    <t>CC 752/4</t>
  </si>
  <si>
    <t>B908000030297</t>
  </si>
  <si>
    <t>j00019209</t>
  </si>
  <si>
    <t>B908000030210</t>
  </si>
  <si>
    <t>j00019932</t>
  </si>
  <si>
    <t>B908000030246</t>
  </si>
  <si>
    <t>j00018939</t>
  </si>
  <si>
    <t>Schaudt</t>
  </si>
  <si>
    <t>B908000030205</t>
  </si>
  <si>
    <t>similar 18939, 18940, 19141 e 18989</t>
  </si>
  <si>
    <t>j00018940</t>
  </si>
  <si>
    <t>B908000030206</t>
  </si>
  <si>
    <t>j00019141</t>
  </si>
  <si>
    <t>B908000030207</t>
  </si>
  <si>
    <t>j00018989</t>
  </si>
  <si>
    <t>B908000030208</t>
  </si>
  <si>
    <t>j00019210</t>
  </si>
  <si>
    <t>Lapidadora</t>
  </si>
  <si>
    <t>B908000030247</t>
  </si>
  <si>
    <t>j00019144_J00019145</t>
  </si>
  <si>
    <t>Máquina flux</t>
  </si>
  <si>
    <t>B908000030248</t>
  </si>
  <si>
    <t>j00899377_156888</t>
  </si>
  <si>
    <t>Bomba de Graxa</t>
  </si>
  <si>
    <t>GRACO</t>
  </si>
  <si>
    <t>CC 111/4</t>
  </si>
  <si>
    <t>B908000030237</t>
  </si>
  <si>
    <t>j00989410</t>
  </si>
  <si>
    <t>TESTE DE ESTANQUEIDADE</t>
  </si>
  <si>
    <t>CC 110/4</t>
  </si>
  <si>
    <t>B908000030204</t>
  </si>
  <si>
    <t>j00263602</t>
  </si>
  <si>
    <t>Rosqueadeira</t>
  </si>
  <si>
    <t>Roscamat</t>
  </si>
  <si>
    <t>CC 753/4</t>
  </si>
  <si>
    <t>B908000030298</t>
  </si>
  <si>
    <t>55088.1_55089</t>
  </si>
  <si>
    <t>j00229412</t>
  </si>
  <si>
    <t>Maquina de lavar eixo traseiro</t>
  </si>
  <si>
    <t>B908000030230</t>
  </si>
  <si>
    <t>EM DESATIVAÇÃO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</si>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</sst>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7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/>
    <xf numFmtId="14" fontId="0" fillId="4" borderId="0" xfId="0" applyNumberFormat="1" applyFill="1" applyAlignment="1">
      <alignment horizontal="center"/>
    </xf>
    <xf numFmtId="17" fontId="1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/>
    <xf numFmtId="14" fontId="0" fillId="5" borderId="0" xfId="0" applyNumberFormat="1" applyFill="1" applyAlignment="1">
      <alignment horizontal="center"/>
    </xf>
    <xf numFmtId="17" fontId="1" fillId="5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IVEIRA, VALDINEI (154)" id="{50DFC78F-3953-4308-8EA0-C76614F42BB6}" userId="S::VALDOLI@tbdir.net::1c76864c-6697-4009-bbb9-63a64781a22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46" dT="2026-07-10T17:24:48.28" personId="{50DFC78F-3953-4308-8EA0-C76614F42BB6}" id="{321EDF8A-69A1-4802-BCBC-B3BDDB1F31B6}">
    <text>Apresentar somente após a conclusão das pendências de 2025
Previsão de finalizar em ago 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97AA-FBD2-47FE-80EB-DE64B9391F5E}">
  <sheetPr filterMode="1"/>
  <dimension ref="A1:AC96"/>
  <sheetViews>
    <sheetView tabSelected="1" topLeftCell="O1" zoomScale="130" zoomScaleNormal="130" workbookViewId="0">
      <selection activeCell="W32" sqref="W32"/>
    </sheetView>
  </sheetViews>
  <sheetFormatPr defaultRowHeight="15" x14ac:dyDescent="0.25"/>
  <cols>
    <col min="1" max="1" width="13.5703125" bestFit="1" customWidth="1"/>
    <col min="2" max="2" width="19.42578125" bestFit="1" customWidth="1"/>
    <col min="3" max="3" width="28.140625" bestFit="1" customWidth="1"/>
    <col min="4" max="4" width="19.85546875" customWidth="1"/>
    <col min="5" max="5" width="11.7109375" bestFit="1" customWidth="1"/>
    <col min="6" max="6" width="15.28515625" bestFit="1" customWidth="1"/>
    <col min="7" max="7" width="18.42578125" bestFit="1" customWidth="1"/>
    <col min="8" max="8" width="20" customWidth="1"/>
    <col min="9" max="9" width="20.140625" customWidth="1"/>
    <col min="10" max="10" width="14.7109375" customWidth="1"/>
    <col min="11" max="11" width="10.85546875" customWidth="1"/>
    <col min="12" max="12" width="13.85546875" customWidth="1"/>
    <col min="13" max="13" width="11" customWidth="1"/>
    <col min="14" max="14" width="133.7109375" customWidth="1"/>
    <col min="15" max="15" width="14" customWidth="1"/>
    <col min="16" max="16" width="11" customWidth="1"/>
    <col min="17" max="17" width="13.140625" style="1" customWidth="1"/>
    <col min="18" max="18" width="12.140625" style="1" customWidth="1"/>
    <col min="19" max="19" width="13.140625" style="1" customWidth="1"/>
    <col min="20" max="21" width="14.5703125" style="1" customWidth="1"/>
    <col min="22" max="22" width="13.28515625" customWidth="1"/>
    <col min="23" max="23" width="12.7109375" customWidth="1"/>
    <col min="24" max="24" width="15.140625" bestFit="1" customWidth="1"/>
    <col min="25" max="25" width="15" customWidth="1"/>
    <col min="26" max="26" width="11" customWidth="1"/>
    <col min="27" max="27" width="9.140625" style="1"/>
    <col min="28" max="28" width="16.140625" style="1" bestFit="1" customWidth="1"/>
    <col min="29" max="29" width="15.85546875" customWidth="1"/>
  </cols>
  <sheetData>
    <row r="1" spans="1:29" s="1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326</v>
      </c>
    </row>
    <row r="2" spans="1:29" x14ac:dyDescent="0.25">
      <c r="A2" s="7">
        <v>56506</v>
      </c>
      <c r="B2" s="1" t="s">
        <v>221</v>
      </c>
      <c r="C2" s="1" t="s">
        <v>222</v>
      </c>
      <c r="D2" s="1" t="s">
        <v>223</v>
      </c>
      <c r="E2" s="1">
        <v>103</v>
      </c>
      <c r="F2" s="1" t="s">
        <v>216</v>
      </c>
      <c r="G2" s="1" t="s">
        <v>32</v>
      </c>
      <c r="H2" s="1">
        <v>64234.268148474184</v>
      </c>
      <c r="I2" s="2">
        <v>554000126966</v>
      </c>
      <c r="J2" s="1" t="s">
        <v>224</v>
      </c>
      <c r="K2" s="1">
        <v>16062243</v>
      </c>
      <c r="L2" s="1" t="s">
        <v>34</v>
      </c>
      <c r="M2">
        <v>1154497846</v>
      </c>
      <c r="O2">
        <f t="shared" ref="O2:O33" si="0">0.9*H2</f>
        <v>57810.841333626769</v>
      </c>
      <c r="P2">
        <f t="shared" ref="P2:P33" si="1">0.1*H2</f>
        <v>6423.4268148474184</v>
      </c>
      <c r="Q2" s="6">
        <v>46076</v>
      </c>
      <c r="R2" s="6">
        <v>46090</v>
      </c>
      <c r="S2" s="1" t="s">
        <v>44</v>
      </c>
      <c r="T2" s="6">
        <v>46122</v>
      </c>
      <c r="U2" s="6">
        <v>46129</v>
      </c>
      <c r="V2" s="5">
        <v>46143</v>
      </c>
      <c r="W2" s="5">
        <v>46143</v>
      </c>
      <c r="X2" t="s">
        <v>45</v>
      </c>
      <c r="AC2" s="1">
        <v>2026</v>
      </c>
    </row>
    <row r="3" spans="1:29" x14ac:dyDescent="0.25">
      <c r="A3" s="7">
        <v>56994</v>
      </c>
      <c r="B3" s="1" t="s">
        <v>232</v>
      </c>
      <c r="C3" s="1" t="s">
        <v>233</v>
      </c>
      <c r="D3" s="1" t="s">
        <v>223</v>
      </c>
      <c r="E3" s="1">
        <v>103</v>
      </c>
      <c r="F3" s="1" t="s">
        <v>216</v>
      </c>
      <c r="G3" s="1" t="s">
        <v>32</v>
      </c>
      <c r="H3" s="1">
        <v>64234.268148474184</v>
      </c>
      <c r="I3" s="2">
        <v>554000126967</v>
      </c>
      <c r="J3" s="1" t="s">
        <v>234</v>
      </c>
      <c r="K3" s="1">
        <v>16062243</v>
      </c>
      <c r="L3" s="1" t="s">
        <v>34</v>
      </c>
      <c r="M3">
        <v>1154497846</v>
      </c>
      <c r="O3">
        <f t="shared" si="0"/>
        <v>57810.841333626769</v>
      </c>
      <c r="P3">
        <f t="shared" si="1"/>
        <v>6423.4268148474184</v>
      </c>
      <c r="Q3" s="6">
        <v>46076</v>
      </c>
      <c r="R3" s="6">
        <v>46090</v>
      </c>
      <c r="S3" s="1" t="s">
        <v>44</v>
      </c>
      <c r="T3" s="6">
        <v>46122</v>
      </c>
      <c r="U3" s="6">
        <v>46129</v>
      </c>
      <c r="V3" s="5">
        <v>46143</v>
      </c>
      <c r="W3" s="5">
        <v>46143</v>
      </c>
      <c r="X3" t="s">
        <v>45</v>
      </c>
      <c r="AC3" s="1">
        <v>2026</v>
      </c>
    </row>
    <row r="4" spans="1:29" s="10" customFormat="1" x14ac:dyDescent="0.25">
      <c r="A4" s="7">
        <v>55088</v>
      </c>
      <c r="B4" s="8" t="s">
        <v>39</v>
      </c>
      <c r="C4" s="8" t="s">
        <v>40</v>
      </c>
      <c r="D4" s="8" t="s">
        <v>37</v>
      </c>
      <c r="E4" s="8">
        <v>21</v>
      </c>
      <c r="F4" s="8" t="s">
        <v>31</v>
      </c>
      <c r="G4" s="8" t="s">
        <v>41</v>
      </c>
      <c r="H4" s="8">
        <v>140094.98000000001</v>
      </c>
      <c r="I4" s="9">
        <v>554000126948</v>
      </c>
      <c r="J4" s="8" t="s">
        <v>42</v>
      </c>
      <c r="K4" s="8">
        <v>15655464</v>
      </c>
      <c r="L4" s="8" t="s">
        <v>43</v>
      </c>
      <c r="M4" s="8">
        <v>1154497375</v>
      </c>
      <c r="O4" s="10">
        <f t="shared" si="0"/>
        <v>126085.48200000002</v>
      </c>
      <c r="P4" s="10">
        <f t="shared" si="1"/>
        <v>14009.498000000001</v>
      </c>
      <c r="Q4" s="11">
        <v>46076</v>
      </c>
      <c r="R4" s="11">
        <v>46111</v>
      </c>
      <c r="S4" s="8" t="s">
        <v>44</v>
      </c>
      <c r="T4" s="11">
        <v>46167</v>
      </c>
      <c r="U4" s="11">
        <v>46184</v>
      </c>
      <c r="V4" s="12">
        <v>46357</v>
      </c>
      <c r="X4" s="10" t="s">
        <v>45</v>
      </c>
      <c r="AA4" s="8"/>
      <c r="AB4" s="8"/>
      <c r="AC4" s="1">
        <v>2026</v>
      </c>
    </row>
    <row r="5" spans="1:29" x14ac:dyDescent="0.25">
      <c r="A5" s="7">
        <v>55095</v>
      </c>
      <c r="B5" s="1" t="s">
        <v>46</v>
      </c>
      <c r="C5" s="1" t="s">
        <v>47</v>
      </c>
      <c r="D5" s="1" t="s">
        <v>48</v>
      </c>
      <c r="E5" s="1">
        <v>21</v>
      </c>
      <c r="F5" s="1" t="s">
        <v>31</v>
      </c>
      <c r="G5" s="1" t="s">
        <v>41</v>
      </c>
      <c r="H5" s="1">
        <v>149785.95000000001</v>
      </c>
      <c r="I5" s="2">
        <v>554000126949</v>
      </c>
      <c r="J5" s="1" t="s">
        <v>49</v>
      </c>
      <c r="K5" s="1">
        <v>15655464</v>
      </c>
      <c r="L5" s="1" t="s">
        <v>43</v>
      </c>
      <c r="M5" s="1">
        <v>1154497375</v>
      </c>
      <c r="O5">
        <f t="shared" si="0"/>
        <v>134807.35500000001</v>
      </c>
      <c r="P5">
        <f t="shared" si="1"/>
        <v>14978.595000000001</v>
      </c>
      <c r="Q5" s="6">
        <v>46076</v>
      </c>
      <c r="R5" s="6">
        <v>46111</v>
      </c>
      <c r="S5" s="1" t="s">
        <v>44</v>
      </c>
      <c r="T5" s="6">
        <v>46167</v>
      </c>
      <c r="U5" s="6">
        <v>46184</v>
      </c>
      <c r="V5" s="5">
        <v>46266</v>
      </c>
      <c r="X5" t="s">
        <v>45</v>
      </c>
      <c r="AC5" s="1">
        <v>2026</v>
      </c>
    </row>
    <row r="6" spans="1:29" x14ac:dyDescent="0.25">
      <c r="A6" s="7">
        <v>55110</v>
      </c>
      <c r="B6" s="1" t="s">
        <v>50</v>
      </c>
      <c r="C6" s="1" t="s">
        <v>51</v>
      </c>
      <c r="D6" s="1" t="s">
        <v>52</v>
      </c>
      <c r="E6" s="1">
        <v>21</v>
      </c>
      <c r="F6" s="1" t="s">
        <v>31</v>
      </c>
      <c r="G6" s="1" t="s">
        <v>53</v>
      </c>
      <c r="H6" s="1">
        <v>77890.400000000009</v>
      </c>
      <c r="I6" s="2">
        <v>554000126951</v>
      </c>
      <c r="J6" s="1" t="s">
        <v>54</v>
      </c>
      <c r="K6" s="1">
        <v>16037570</v>
      </c>
      <c r="L6" s="1" t="s">
        <v>55</v>
      </c>
      <c r="M6" s="1">
        <v>1154496572</v>
      </c>
      <c r="O6">
        <f t="shared" si="0"/>
        <v>70101.360000000015</v>
      </c>
      <c r="P6">
        <f t="shared" si="1"/>
        <v>7789.0400000000009</v>
      </c>
      <c r="Q6" s="6">
        <v>46076</v>
      </c>
      <c r="R6" s="6">
        <v>46127</v>
      </c>
      <c r="S6" s="1" t="s">
        <v>44</v>
      </c>
      <c r="T6" s="6">
        <v>46133</v>
      </c>
      <c r="U6" s="6">
        <v>46162</v>
      </c>
      <c r="V6" s="5">
        <v>46235</v>
      </c>
      <c r="W6" s="5"/>
      <c r="X6" t="s">
        <v>45</v>
      </c>
      <c r="AA6" s="1">
        <v>124</v>
      </c>
      <c r="AC6" s="1">
        <v>2026</v>
      </c>
    </row>
    <row r="7" spans="1:29" x14ac:dyDescent="0.25">
      <c r="A7" s="7">
        <v>55111</v>
      </c>
      <c r="B7" s="1" t="s">
        <v>56</v>
      </c>
      <c r="C7" s="1" t="s">
        <v>51</v>
      </c>
      <c r="D7" s="1" t="s">
        <v>52</v>
      </c>
      <c r="E7" s="1">
        <v>21</v>
      </c>
      <c r="F7" s="1" t="s">
        <v>57</v>
      </c>
      <c r="G7" s="1" t="s">
        <v>53</v>
      </c>
      <c r="H7" s="1">
        <v>77890.399999999994</v>
      </c>
      <c r="I7" s="2">
        <v>554000126952</v>
      </c>
      <c r="J7" s="1" t="s">
        <v>58</v>
      </c>
      <c r="K7" s="1">
        <v>16037570</v>
      </c>
      <c r="L7" s="1" t="s">
        <v>55</v>
      </c>
      <c r="M7" s="1">
        <v>1154496572</v>
      </c>
      <c r="O7">
        <f t="shared" si="0"/>
        <v>70101.36</v>
      </c>
      <c r="P7">
        <f t="shared" si="1"/>
        <v>7789.04</v>
      </c>
      <c r="Q7" s="6">
        <v>46076</v>
      </c>
      <c r="R7" s="6">
        <v>46127</v>
      </c>
      <c r="S7" s="8" t="s">
        <v>220</v>
      </c>
      <c r="T7" s="6">
        <v>46133</v>
      </c>
      <c r="U7" s="6">
        <v>46162</v>
      </c>
      <c r="V7" s="5">
        <v>46235</v>
      </c>
      <c r="W7" s="5"/>
      <c r="X7" t="s">
        <v>45</v>
      </c>
      <c r="AA7" s="1">
        <v>125</v>
      </c>
      <c r="AC7" s="1">
        <v>2026</v>
      </c>
    </row>
    <row r="8" spans="1:29" x14ac:dyDescent="0.25">
      <c r="A8" s="7">
        <v>57003</v>
      </c>
      <c r="B8" s="1" t="s">
        <v>235</v>
      </c>
      <c r="C8" s="1" t="s">
        <v>60</v>
      </c>
      <c r="D8" s="1" t="s">
        <v>236</v>
      </c>
      <c r="E8" s="1">
        <v>103</v>
      </c>
      <c r="F8" s="1" t="s">
        <v>216</v>
      </c>
      <c r="G8" s="1" t="s">
        <v>32</v>
      </c>
      <c r="H8" s="1">
        <v>64234.268148474184</v>
      </c>
      <c r="I8" s="2">
        <v>554000126968</v>
      </c>
      <c r="J8" s="1" t="s">
        <v>237</v>
      </c>
      <c r="K8" s="1">
        <v>16062243</v>
      </c>
      <c r="L8" s="1" t="s">
        <v>34</v>
      </c>
      <c r="M8">
        <v>1154497846</v>
      </c>
      <c r="O8">
        <f t="shared" si="0"/>
        <v>57810.841333626769</v>
      </c>
      <c r="P8">
        <f t="shared" si="1"/>
        <v>6423.4268148474184</v>
      </c>
      <c r="Q8" s="6">
        <v>46076</v>
      </c>
      <c r="R8" s="6">
        <v>46090</v>
      </c>
      <c r="S8" s="1" t="s">
        <v>44</v>
      </c>
      <c r="T8" s="6">
        <v>46122</v>
      </c>
      <c r="U8" s="6">
        <v>46129</v>
      </c>
      <c r="V8" s="5">
        <v>46143</v>
      </c>
      <c r="W8" s="5">
        <v>46143</v>
      </c>
      <c r="X8" t="s">
        <v>45</v>
      </c>
      <c r="AC8" s="1">
        <v>2026</v>
      </c>
    </row>
    <row r="9" spans="1:29" x14ac:dyDescent="0.25">
      <c r="A9" s="7">
        <v>57563</v>
      </c>
      <c r="B9" s="1" t="s">
        <v>277</v>
      </c>
      <c r="C9" s="1" t="s">
        <v>60</v>
      </c>
      <c r="D9" s="1" t="s">
        <v>223</v>
      </c>
      <c r="E9" s="1">
        <v>103</v>
      </c>
      <c r="F9" s="1" t="s">
        <v>216</v>
      </c>
      <c r="G9" s="1" t="s">
        <v>32</v>
      </c>
      <c r="H9" s="1">
        <v>64234.268148474184</v>
      </c>
      <c r="I9" s="2">
        <v>554000126971</v>
      </c>
      <c r="J9" s="1" t="s">
        <v>278</v>
      </c>
      <c r="K9" s="1">
        <v>16062243</v>
      </c>
      <c r="L9" s="1" t="s">
        <v>34</v>
      </c>
      <c r="M9">
        <v>1154497846</v>
      </c>
      <c r="O9">
        <f t="shared" si="0"/>
        <v>57810.841333626769</v>
      </c>
      <c r="P9">
        <f t="shared" si="1"/>
        <v>6423.4268148474184</v>
      </c>
      <c r="Q9" s="6">
        <v>46076</v>
      </c>
      <c r="R9" s="6">
        <v>46090</v>
      </c>
      <c r="S9" s="1" t="s">
        <v>44</v>
      </c>
      <c r="T9" s="6">
        <v>46122</v>
      </c>
      <c r="U9" s="6">
        <v>46129</v>
      </c>
      <c r="V9" s="5">
        <v>46143</v>
      </c>
      <c r="W9" s="5">
        <v>46143</v>
      </c>
      <c r="X9" t="s">
        <v>45</v>
      </c>
      <c r="AC9" s="1">
        <v>2026</v>
      </c>
    </row>
    <row r="10" spans="1:29" x14ac:dyDescent="0.25">
      <c r="A10" s="7">
        <v>57565</v>
      </c>
      <c r="B10" s="1" t="s">
        <v>279</v>
      </c>
      <c r="C10" s="1" t="s">
        <v>60</v>
      </c>
      <c r="D10" s="1" t="s">
        <v>223</v>
      </c>
      <c r="E10" s="1">
        <v>103</v>
      </c>
      <c r="F10" s="1" t="s">
        <v>216</v>
      </c>
      <c r="G10" s="1" t="s">
        <v>32</v>
      </c>
      <c r="H10" s="1">
        <v>64234.268148474184</v>
      </c>
      <c r="I10" s="2">
        <v>554000126972</v>
      </c>
      <c r="J10" s="1" t="s">
        <v>280</v>
      </c>
      <c r="K10" s="1">
        <v>16062243</v>
      </c>
      <c r="L10" s="1" t="s">
        <v>34</v>
      </c>
      <c r="M10">
        <v>1154497846</v>
      </c>
      <c r="O10">
        <f t="shared" si="0"/>
        <v>57810.841333626769</v>
      </c>
      <c r="P10">
        <f t="shared" si="1"/>
        <v>6423.4268148474184</v>
      </c>
      <c r="Q10" s="6">
        <v>46076</v>
      </c>
      <c r="R10" s="6">
        <v>46090</v>
      </c>
      <c r="S10" s="1" t="s">
        <v>281</v>
      </c>
      <c r="T10" s="6">
        <v>46122</v>
      </c>
      <c r="U10" s="6">
        <v>46129</v>
      </c>
      <c r="V10" s="5">
        <v>46143</v>
      </c>
      <c r="W10" s="5">
        <v>46143</v>
      </c>
      <c r="X10" t="s">
        <v>45</v>
      </c>
      <c r="AC10" s="1">
        <v>2026</v>
      </c>
    </row>
    <row r="11" spans="1:29" x14ac:dyDescent="0.25">
      <c r="A11" s="7">
        <v>55511</v>
      </c>
      <c r="B11" s="1" t="s">
        <v>109</v>
      </c>
      <c r="C11" s="1" t="s">
        <v>81</v>
      </c>
      <c r="D11" s="1" t="s">
        <v>77</v>
      </c>
      <c r="E11" s="1">
        <v>21</v>
      </c>
      <c r="F11" s="1" t="s">
        <v>110</v>
      </c>
      <c r="G11" s="1" t="s">
        <v>32</v>
      </c>
      <c r="H11" s="1">
        <v>74017.637866784047</v>
      </c>
      <c r="I11" s="2">
        <v>554000126858</v>
      </c>
      <c r="J11" s="1" t="s">
        <v>111</v>
      </c>
      <c r="K11" s="1">
        <v>16062243</v>
      </c>
      <c r="L11" s="1" t="s">
        <v>34</v>
      </c>
      <c r="M11">
        <v>1154497846</v>
      </c>
      <c r="N11" t="s">
        <v>79</v>
      </c>
      <c r="O11">
        <f t="shared" si="0"/>
        <v>66615.874080105641</v>
      </c>
      <c r="P11">
        <f t="shared" si="1"/>
        <v>7401.7637866784053</v>
      </c>
      <c r="Q11" s="6">
        <v>46076</v>
      </c>
      <c r="R11" s="6">
        <v>46126</v>
      </c>
      <c r="S11" s="1" t="s">
        <v>44</v>
      </c>
      <c r="T11" s="6">
        <v>46126</v>
      </c>
      <c r="U11" s="6">
        <v>46149</v>
      </c>
      <c r="V11" s="5">
        <v>46174</v>
      </c>
      <c r="W11" s="5">
        <v>46174</v>
      </c>
      <c r="X11" t="s">
        <v>45</v>
      </c>
      <c r="AC11" s="1">
        <v>2026</v>
      </c>
    </row>
    <row r="12" spans="1:29" x14ac:dyDescent="0.25">
      <c r="A12" s="7">
        <v>55180</v>
      </c>
      <c r="B12" s="1" t="s">
        <v>71</v>
      </c>
      <c r="C12" s="1" t="s">
        <v>72</v>
      </c>
      <c r="D12" s="1" t="s">
        <v>73</v>
      </c>
      <c r="E12" s="1">
        <v>21</v>
      </c>
      <c r="F12" s="1" t="s">
        <v>74</v>
      </c>
      <c r="G12" s="1" t="s">
        <v>53</v>
      </c>
      <c r="H12" s="1">
        <v>50000</v>
      </c>
      <c r="I12" s="2">
        <v>554000126959</v>
      </c>
      <c r="J12" s="1" t="s">
        <v>75</v>
      </c>
      <c r="K12" s="1">
        <v>16037570</v>
      </c>
      <c r="L12" s="1" t="s">
        <v>55</v>
      </c>
      <c r="M12" s="1">
        <v>1154496572</v>
      </c>
      <c r="O12">
        <f t="shared" si="0"/>
        <v>45000</v>
      </c>
      <c r="P12">
        <f t="shared" si="1"/>
        <v>5000</v>
      </c>
      <c r="Q12" s="6">
        <v>46076</v>
      </c>
      <c r="R12" s="6">
        <v>46127</v>
      </c>
      <c r="S12" s="1" t="s">
        <v>44</v>
      </c>
      <c r="T12" s="6">
        <v>46133</v>
      </c>
      <c r="U12" s="6">
        <v>46162</v>
      </c>
      <c r="V12" s="5">
        <v>46235</v>
      </c>
      <c r="W12" s="5"/>
      <c r="X12" t="s">
        <v>45</v>
      </c>
      <c r="AC12" s="1">
        <v>2026</v>
      </c>
    </row>
    <row r="13" spans="1:29" x14ac:dyDescent="0.25">
      <c r="A13" s="7">
        <v>55644</v>
      </c>
      <c r="B13" s="1" t="s">
        <v>121</v>
      </c>
      <c r="C13" s="1" t="s">
        <v>91</v>
      </c>
      <c r="D13" s="1" t="s">
        <v>77</v>
      </c>
      <c r="E13" s="1">
        <v>21</v>
      </c>
      <c r="F13" s="1" t="s">
        <v>74</v>
      </c>
      <c r="G13" s="1" t="s">
        <v>32</v>
      </c>
      <c r="H13" s="1">
        <v>74017.637866784047</v>
      </c>
      <c r="I13" s="2">
        <v>554000126861</v>
      </c>
      <c r="J13" s="1" t="s">
        <v>122</v>
      </c>
      <c r="K13" s="1">
        <v>16062243</v>
      </c>
      <c r="L13" s="1" t="s">
        <v>34</v>
      </c>
      <c r="M13">
        <v>1154497846</v>
      </c>
      <c r="N13" t="s">
        <v>79</v>
      </c>
      <c r="O13">
        <f t="shared" si="0"/>
        <v>66615.874080105641</v>
      </c>
      <c r="P13">
        <f t="shared" si="1"/>
        <v>7401.7637866784053</v>
      </c>
      <c r="Q13" s="6">
        <v>46076</v>
      </c>
      <c r="R13" s="6">
        <v>46126</v>
      </c>
      <c r="S13" s="1" t="s">
        <v>44</v>
      </c>
      <c r="T13" s="6">
        <v>46126</v>
      </c>
      <c r="U13" s="6">
        <v>46149</v>
      </c>
      <c r="V13" s="5">
        <v>46174</v>
      </c>
      <c r="W13" s="5">
        <v>46174</v>
      </c>
      <c r="X13" t="s">
        <v>45</v>
      </c>
      <c r="AC13" s="1">
        <v>2026</v>
      </c>
    </row>
    <row r="14" spans="1:29" x14ac:dyDescent="0.25">
      <c r="A14" s="7">
        <v>55216</v>
      </c>
      <c r="B14" s="1" t="s">
        <v>80</v>
      </c>
      <c r="C14" s="1" t="s">
        <v>81</v>
      </c>
      <c r="D14" s="1" t="s">
        <v>82</v>
      </c>
      <c r="E14" s="1">
        <v>21</v>
      </c>
      <c r="F14" s="1" t="s">
        <v>74</v>
      </c>
      <c r="G14" s="1" t="s">
        <v>53</v>
      </c>
      <c r="H14" s="1">
        <v>50000</v>
      </c>
      <c r="I14" s="2">
        <v>554000126901</v>
      </c>
      <c r="J14" s="1" t="s">
        <v>83</v>
      </c>
      <c r="K14" s="1">
        <v>16037570</v>
      </c>
      <c r="L14" s="1" t="s">
        <v>55</v>
      </c>
      <c r="M14" s="1">
        <v>1154496572</v>
      </c>
      <c r="N14" t="s">
        <v>84</v>
      </c>
      <c r="O14">
        <f t="shared" si="0"/>
        <v>45000</v>
      </c>
      <c r="P14">
        <f t="shared" si="1"/>
        <v>5000</v>
      </c>
      <c r="Q14" s="6">
        <v>46076</v>
      </c>
      <c r="R14" s="6">
        <v>46127</v>
      </c>
      <c r="S14" s="1" t="s">
        <v>44</v>
      </c>
      <c r="T14" s="6">
        <v>46133</v>
      </c>
      <c r="U14" s="6">
        <v>46162</v>
      </c>
      <c r="V14" s="5">
        <v>46204</v>
      </c>
      <c r="W14" s="12">
        <v>46233</v>
      </c>
      <c r="X14" t="s">
        <v>45</v>
      </c>
      <c r="AC14" s="1">
        <v>2026</v>
      </c>
    </row>
    <row r="15" spans="1:29" x14ac:dyDescent="0.25">
      <c r="A15" s="7">
        <v>55261</v>
      </c>
      <c r="B15" s="1" t="s">
        <v>85</v>
      </c>
      <c r="C15" s="1" t="s">
        <v>86</v>
      </c>
      <c r="D15" s="1" t="s">
        <v>87</v>
      </c>
      <c r="E15" s="1">
        <v>21</v>
      </c>
      <c r="F15" s="1" t="s">
        <v>88</v>
      </c>
      <c r="G15" s="1" t="s">
        <v>41</v>
      </c>
      <c r="H15" s="1">
        <v>212633.7</v>
      </c>
      <c r="I15" s="2">
        <v>554000126961</v>
      </c>
      <c r="J15" s="1" t="s">
        <v>89</v>
      </c>
      <c r="K15" s="1">
        <v>15655464</v>
      </c>
      <c r="L15" s="1" t="s">
        <v>43</v>
      </c>
      <c r="M15" s="1">
        <v>1154497375</v>
      </c>
      <c r="O15">
        <f t="shared" si="0"/>
        <v>191370.33000000002</v>
      </c>
      <c r="P15">
        <f t="shared" si="1"/>
        <v>21263.370000000003</v>
      </c>
      <c r="Q15" s="6">
        <v>46076</v>
      </c>
      <c r="R15" s="6">
        <v>46111</v>
      </c>
      <c r="S15" s="1" t="s">
        <v>44</v>
      </c>
      <c r="T15" s="6">
        <v>46167</v>
      </c>
      <c r="U15" s="6">
        <v>46184</v>
      </c>
      <c r="V15" s="5">
        <v>46266</v>
      </c>
      <c r="W15" s="5"/>
      <c r="X15" t="s">
        <v>45</v>
      </c>
      <c r="AC15" s="1">
        <v>2026</v>
      </c>
    </row>
    <row r="16" spans="1:29" x14ac:dyDescent="0.25">
      <c r="A16" s="7">
        <v>55300</v>
      </c>
      <c r="B16" s="1" t="s">
        <v>90</v>
      </c>
      <c r="C16" s="1" t="s">
        <v>91</v>
      </c>
      <c r="D16" s="1" t="s">
        <v>82</v>
      </c>
      <c r="E16" s="1">
        <v>21</v>
      </c>
      <c r="F16" s="1" t="s">
        <v>92</v>
      </c>
      <c r="G16" s="1" t="s">
        <v>53</v>
      </c>
      <c r="H16" s="1">
        <v>50000</v>
      </c>
      <c r="I16" s="2">
        <v>554000127106</v>
      </c>
      <c r="J16" s="1" t="s">
        <v>93</v>
      </c>
      <c r="K16" s="1">
        <v>16037570</v>
      </c>
      <c r="L16" s="1" t="s">
        <v>55</v>
      </c>
      <c r="M16" s="1">
        <v>1154496572</v>
      </c>
      <c r="N16" t="s">
        <v>84</v>
      </c>
      <c r="O16">
        <f t="shared" si="0"/>
        <v>45000</v>
      </c>
      <c r="P16">
        <f t="shared" si="1"/>
        <v>5000</v>
      </c>
      <c r="Q16" s="6">
        <v>46076</v>
      </c>
      <c r="R16" s="6">
        <v>46127</v>
      </c>
      <c r="S16" s="1" t="s">
        <v>44</v>
      </c>
      <c r="T16" s="6">
        <v>46133</v>
      </c>
      <c r="U16" s="6">
        <v>46162</v>
      </c>
      <c r="V16" s="5">
        <v>46235</v>
      </c>
      <c r="W16" s="5"/>
      <c r="X16" t="s">
        <v>45</v>
      </c>
      <c r="AC16" s="1">
        <v>2026</v>
      </c>
    </row>
    <row r="17" spans="1:29" s="15" customFormat="1" x14ac:dyDescent="0.25">
      <c r="A17" s="13">
        <v>55315</v>
      </c>
      <c r="B17" s="13" t="s">
        <v>94</v>
      </c>
      <c r="C17" s="13" t="s">
        <v>95</v>
      </c>
      <c r="D17" s="13" t="s">
        <v>96</v>
      </c>
      <c r="E17" s="13">
        <v>21</v>
      </c>
      <c r="F17" s="13" t="s">
        <v>97</v>
      </c>
      <c r="G17" s="13" t="s">
        <v>41</v>
      </c>
      <c r="H17" s="13">
        <v>65675.16</v>
      </c>
      <c r="I17" s="14">
        <v>554000126973</v>
      </c>
      <c r="J17" s="13" t="s">
        <v>98</v>
      </c>
      <c r="K17" s="13">
        <v>15655464</v>
      </c>
      <c r="L17" s="13" t="s">
        <v>43</v>
      </c>
      <c r="M17" s="13">
        <v>1154497375</v>
      </c>
      <c r="O17" s="15">
        <f t="shared" si="0"/>
        <v>59107.644000000008</v>
      </c>
      <c r="P17" s="15">
        <f t="shared" si="1"/>
        <v>6567.5160000000005</v>
      </c>
      <c r="Q17" s="16">
        <v>46076</v>
      </c>
      <c r="R17" s="16">
        <v>46111</v>
      </c>
      <c r="S17" s="13" t="s">
        <v>44</v>
      </c>
      <c r="T17" s="13"/>
      <c r="U17" s="13"/>
      <c r="V17" s="17">
        <v>46266</v>
      </c>
      <c r="W17" s="17"/>
      <c r="X17" s="15" t="s">
        <v>45</v>
      </c>
      <c r="AA17" s="13"/>
      <c r="AB17" s="13" t="s">
        <v>325</v>
      </c>
      <c r="AC17" s="1">
        <v>2026</v>
      </c>
    </row>
    <row r="18" spans="1:29" x14ac:dyDescent="0.25">
      <c r="A18" s="7">
        <v>55369</v>
      </c>
      <c r="B18" s="1" t="s">
        <v>99</v>
      </c>
      <c r="C18" s="1" t="s">
        <v>81</v>
      </c>
      <c r="D18" s="1" t="s">
        <v>82</v>
      </c>
      <c r="E18" s="1">
        <v>21</v>
      </c>
      <c r="F18" s="1" t="s">
        <v>57</v>
      </c>
      <c r="G18" s="1" t="s">
        <v>53</v>
      </c>
      <c r="H18" s="1">
        <v>50000</v>
      </c>
      <c r="I18" s="2">
        <v>554000126875</v>
      </c>
      <c r="J18" s="1" t="s">
        <v>100</v>
      </c>
      <c r="K18" s="1">
        <v>16037570</v>
      </c>
      <c r="L18" s="1" t="s">
        <v>55</v>
      </c>
      <c r="M18" s="1">
        <v>1154496572</v>
      </c>
      <c r="N18" t="s">
        <v>84</v>
      </c>
      <c r="O18">
        <f t="shared" si="0"/>
        <v>45000</v>
      </c>
      <c r="P18">
        <f t="shared" si="1"/>
        <v>5000</v>
      </c>
      <c r="Q18" s="6">
        <v>46076</v>
      </c>
      <c r="R18" s="6">
        <v>46127</v>
      </c>
      <c r="S18" s="1" t="s">
        <v>44</v>
      </c>
      <c r="T18" s="6">
        <v>46133</v>
      </c>
      <c r="U18" s="6">
        <v>46141</v>
      </c>
      <c r="V18" s="5">
        <v>46174</v>
      </c>
      <c r="W18" s="5">
        <v>46174</v>
      </c>
      <c r="X18" t="s">
        <v>45</v>
      </c>
      <c r="AC18" s="1">
        <v>2026</v>
      </c>
    </row>
    <row r="19" spans="1:29" x14ac:dyDescent="0.25">
      <c r="A19" s="7">
        <v>55377</v>
      </c>
      <c r="B19" s="1" t="s">
        <v>101</v>
      </c>
      <c r="C19" s="1" t="s">
        <v>102</v>
      </c>
      <c r="D19" s="1" t="s">
        <v>82</v>
      </c>
      <c r="E19" s="1">
        <v>21</v>
      </c>
      <c r="F19" s="1" t="s">
        <v>57</v>
      </c>
      <c r="G19" s="1" t="s">
        <v>53</v>
      </c>
      <c r="H19" s="1">
        <v>50000</v>
      </c>
      <c r="I19" s="2">
        <v>554000126876</v>
      </c>
      <c r="J19" s="1" t="s">
        <v>103</v>
      </c>
      <c r="K19" s="1">
        <v>16037570</v>
      </c>
      <c r="L19" s="1" t="s">
        <v>55</v>
      </c>
      <c r="M19" s="1">
        <v>1154496572</v>
      </c>
      <c r="N19" t="s">
        <v>84</v>
      </c>
      <c r="O19">
        <f t="shared" si="0"/>
        <v>45000</v>
      </c>
      <c r="P19">
        <f t="shared" si="1"/>
        <v>5000</v>
      </c>
      <c r="Q19" s="6">
        <v>46076</v>
      </c>
      <c r="R19" s="6">
        <v>46127</v>
      </c>
      <c r="S19" s="1" t="s">
        <v>44</v>
      </c>
      <c r="T19" s="6">
        <v>46133</v>
      </c>
      <c r="U19" s="6">
        <v>46141</v>
      </c>
      <c r="V19" s="5">
        <v>46266</v>
      </c>
      <c r="W19" s="5"/>
      <c r="X19" t="s">
        <v>45</v>
      </c>
      <c r="AC19" s="1">
        <v>2026</v>
      </c>
    </row>
    <row r="20" spans="1:29" x14ac:dyDescent="0.25">
      <c r="A20" s="7">
        <v>55989</v>
      </c>
      <c r="B20" s="1" t="s">
        <v>134</v>
      </c>
      <c r="C20" s="1" t="s">
        <v>135</v>
      </c>
      <c r="D20" s="1" t="s">
        <v>136</v>
      </c>
      <c r="E20" s="1">
        <v>21</v>
      </c>
      <c r="F20" s="1" t="s">
        <v>107</v>
      </c>
      <c r="G20" s="1" t="s">
        <v>32</v>
      </c>
      <c r="H20" s="1">
        <v>95190.319791666669</v>
      </c>
      <c r="I20" s="2">
        <v>554000126854</v>
      </c>
      <c r="J20" s="1" t="s">
        <v>137</v>
      </c>
      <c r="K20" s="1">
        <v>16062243</v>
      </c>
      <c r="L20" s="1" t="s">
        <v>34</v>
      </c>
      <c r="M20">
        <v>1154497846</v>
      </c>
      <c r="N20" t="s">
        <v>138</v>
      </c>
      <c r="O20">
        <f t="shared" si="0"/>
        <v>85671.287812499999</v>
      </c>
      <c r="P20">
        <f t="shared" si="1"/>
        <v>9519.031979166668</v>
      </c>
      <c r="Q20" s="6">
        <v>46076</v>
      </c>
      <c r="R20" s="6">
        <v>46126</v>
      </c>
      <c r="S20" s="1" t="s">
        <v>44</v>
      </c>
      <c r="T20" s="6">
        <v>46126</v>
      </c>
      <c r="U20" s="6">
        <v>46149</v>
      </c>
      <c r="V20" s="5">
        <v>46174</v>
      </c>
      <c r="W20" s="5">
        <v>46174</v>
      </c>
      <c r="X20" t="s">
        <v>45</v>
      </c>
      <c r="AC20" s="1">
        <v>2026</v>
      </c>
    </row>
    <row r="21" spans="1:29" x14ac:dyDescent="0.25">
      <c r="A21" s="7">
        <v>55990</v>
      </c>
      <c r="B21" s="1" t="s">
        <v>139</v>
      </c>
      <c r="C21" s="1" t="s">
        <v>135</v>
      </c>
      <c r="D21" s="1" t="s">
        <v>136</v>
      </c>
      <c r="E21" s="1">
        <v>21</v>
      </c>
      <c r="F21" s="1" t="s">
        <v>107</v>
      </c>
      <c r="G21" s="1" t="s">
        <v>32</v>
      </c>
      <c r="H21" s="1">
        <v>95190.319791666669</v>
      </c>
      <c r="I21" s="2">
        <v>554000126855</v>
      </c>
      <c r="J21" s="1" t="s">
        <v>140</v>
      </c>
      <c r="K21" s="1">
        <v>16062243</v>
      </c>
      <c r="L21" s="1" t="s">
        <v>34</v>
      </c>
      <c r="M21">
        <v>1154497846</v>
      </c>
      <c r="N21" t="s">
        <v>138</v>
      </c>
      <c r="O21">
        <f t="shared" si="0"/>
        <v>85671.287812499999</v>
      </c>
      <c r="P21">
        <f t="shared" si="1"/>
        <v>9519.031979166668</v>
      </c>
      <c r="Q21" s="6">
        <v>46076</v>
      </c>
      <c r="R21" s="6">
        <v>46126</v>
      </c>
      <c r="S21" s="1" t="s">
        <v>44</v>
      </c>
      <c r="T21" s="6">
        <v>46126</v>
      </c>
      <c r="U21" s="6">
        <v>46149</v>
      </c>
      <c r="V21" s="5">
        <v>46174</v>
      </c>
      <c r="W21" s="5">
        <v>46174</v>
      </c>
      <c r="X21" t="s">
        <v>45</v>
      </c>
      <c r="AC21" s="1">
        <v>2026</v>
      </c>
    </row>
    <row r="22" spans="1:29" x14ac:dyDescent="0.25">
      <c r="A22" s="7">
        <v>55991</v>
      </c>
      <c r="B22" s="1" t="s">
        <v>141</v>
      </c>
      <c r="C22" s="1" t="s">
        <v>135</v>
      </c>
      <c r="D22" s="1" t="s">
        <v>136</v>
      </c>
      <c r="E22" s="1">
        <v>21</v>
      </c>
      <c r="F22" s="1" t="s">
        <v>107</v>
      </c>
      <c r="G22" s="1" t="s">
        <v>32</v>
      </c>
      <c r="H22" s="1">
        <v>95190.319791666669</v>
      </c>
      <c r="I22" s="2">
        <v>554000126856</v>
      </c>
      <c r="J22" s="1" t="s">
        <v>142</v>
      </c>
      <c r="K22" s="1">
        <v>16062243</v>
      </c>
      <c r="L22" s="1" t="s">
        <v>34</v>
      </c>
      <c r="M22">
        <v>1154497846</v>
      </c>
      <c r="N22" t="s">
        <v>138</v>
      </c>
      <c r="O22">
        <f t="shared" si="0"/>
        <v>85671.287812499999</v>
      </c>
      <c r="P22">
        <f t="shared" si="1"/>
        <v>9519.031979166668</v>
      </c>
      <c r="Q22" s="6">
        <v>46076</v>
      </c>
      <c r="R22" s="6">
        <v>46126</v>
      </c>
      <c r="S22" s="1" t="s">
        <v>44</v>
      </c>
      <c r="T22" s="6">
        <v>46126</v>
      </c>
      <c r="U22" s="6">
        <v>46149</v>
      </c>
      <c r="V22" s="5">
        <v>46174</v>
      </c>
      <c r="W22" s="5">
        <v>46174</v>
      </c>
      <c r="X22" t="s">
        <v>45</v>
      </c>
      <c r="AC22" s="1">
        <v>2026</v>
      </c>
    </row>
    <row r="23" spans="1:29" x14ac:dyDescent="0.25">
      <c r="A23" s="7">
        <v>57990</v>
      </c>
      <c r="B23" s="1" t="s">
        <v>282</v>
      </c>
      <c r="C23" s="1" t="s">
        <v>283</v>
      </c>
      <c r="D23" s="1" t="s">
        <v>284</v>
      </c>
      <c r="E23" s="1">
        <v>44</v>
      </c>
      <c r="F23" s="1" t="s">
        <v>285</v>
      </c>
      <c r="G23" s="1" t="s">
        <v>32</v>
      </c>
      <c r="H23" s="1">
        <v>105035.51580105635</v>
      </c>
      <c r="I23" s="2">
        <v>554000126963</v>
      </c>
      <c r="J23" s="1" t="s">
        <v>286</v>
      </c>
      <c r="K23" s="1">
        <v>16062243</v>
      </c>
      <c r="L23" s="1" t="s">
        <v>34</v>
      </c>
      <c r="M23">
        <v>1154497846</v>
      </c>
      <c r="O23">
        <f t="shared" si="0"/>
        <v>94531.964220950715</v>
      </c>
      <c r="P23">
        <f t="shared" si="1"/>
        <v>10503.551580105635</v>
      </c>
      <c r="Q23" s="6">
        <v>46076</v>
      </c>
      <c r="R23" s="6">
        <v>46149</v>
      </c>
      <c r="S23" s="1" t="s">
        <v>44</v>
      </c>
      <c r="T23" s="6">
        <v>46149</v>
      </c>
      <c r="U23" s="6">
        <v>46149</v>
      </c>
      <c r="V23" s="5">
        <v>46174</v>
      </c>
      <c r="W23" s="5">
        <v>46174</v>
      </c>
      <c r="X23" t="s">
        <v>45</v>
      </c>
      <c r="AC23" s="1">
        <v>2026</v>
      </c>
    </row>
    <row r="24" spans="1:29" x14ac:dyDescent="0.25">
      <c r="A24" s="7">
        <v>55186</v>
      </c>
      <c r="B24" s="1" t="s">
        <v>76</v>
      </c>
      <c r="C24" s="1" t="s">
        <v>72</v>
      </c>
      <c r="D24" s="1" t="s">
        <v>77</v>
      </c>
      <c r="E24" s="1">
        <v>21</v>
      </c>
      <c r="F24" s="1" t="s">
        <v>74</v>
      </c>
      <c r="G24" s="1" t="s">
        <v>32</v>
      </c>
      <c r="H24" s="1">
        <v>74017.637866784047</v>
      </c>
      <c r="I24" s="2">
        <v>554000126860</v>
      </c>
      <c r="J24" s="1" t="s">
        <v>78</v>
      </c>
      <c r="K24" s="1">
        <v>16062243</v>
      </c>
      <c r="L24" s="1" t="s">
        <v>34</v>
      </c>
      <c r="M24">
        <v>1154497846</v>
      </c>
      <c r="N24" t="s">
        <v>79</v>
      </c>
      <c r="O24">
        <f t="shared" si="0"/>
        <v>66615.874080105641</v>
      </c>
      <c r="P24">
        <f t="shared" si="1"/>
        <v>7401.7637866784053</v>
      </c>
      <c r="Q24" s="6">
        <v>46076</v>
      </c>
      <c r="R24" s="6">
        <v>46126</v>
      </c>
      <c r="S24" s="1" t="s">
        <v>281</v>
      </c>
      <c r="T24" s="6">
        <v>46126</v>
      </c>
      <c r="U24" s="6">
        <v>46149</v>
      </c>
      <c r="V24" s="5">
        <v>46296</v>
      </c>
      <c r="W24" s="5"/>
      <c r="X24" t="s">
        <v>45</v>
      </c>
      <c r="AC24" s="1">
        <v>2026</v>
      </c>
    </row>
    <row r="25" spans="1:29" x14ac:dyDescent="0.25">
      <c r="A25" s="7">
        <v>55953</v>
      </c>
      <c r="B25" s="1" t="s">
        <v>132</v>
      </c>
      <c r="C25" s="1" t="s">
        <v>91</v>
      </c>
      <c r="D25" s="1" t="s">
        <v>77</v>
      </c>
      <c r="E25" s="1">
        <v>21</v>
      </c>
      <c r="F25" s="1" t="s">
        <v>57</v>
      </c>
      <c r="G25" s="1" t="s">
        <v>32</v>
      </c>
      <c r="H25" s="1">
        <v>74017.637866784047</v>
      </c>
      <c r="I25" s="2">
        <v>554000126859</v>
      </c>
      <c r="J25" s="1" t="s">
        <v>133</v>
      </c>
      <c r="K25" s="1">
        <v>16062243</v>
      </c>
      <c r="L25" s="1" t="s">
        <v>34</v>
      </c>
      <c r="M25">
        <v>1154497846</v>
      </c>
      <c r="N25" t="s">
        <v>79</v>
      </c>
      <c r="O25">
        <f t="shared" si="0"/>
        <v>66615.874080105641</v>
      </c>
      <c r="P25">
        <f t="shared" si="1"/>
        <v>7401.7637866784053</v>
      </c>
      <c r="Q25" s="6">
        <v>46076</v>
      </c>
      <c r="R25" s="6">
        <v>46126</v>
      </c>
      <c r="S25" s="1" t="s">
        <v>44</v>
      </c>
      <c r="T25" s="6">
        <v>46126</v>
      </c>
      <c r="U25" s="6">
        <v>46149</v>
      </c>
      <c r="V25" s="5">
        <v>46296</v>
      </c>
      <c r="W25" s="5"/>
      <c r="X25" t="s">
        <v>45</v>
      </c>
      <c r="AC25" s="1">
        <v>2026</v>
      </c>
    </row>
    <row r="26" spans="1:29" hidden="1" x14ac:dyDescent="0.25">
      <c r="A26" s="1">
        <v>55117</v>
      </c>
      <c r="B26" s="1" t="s">
        <v>59</v>
      </c>
      <c r="C26" s="1" t="s">
        <v>60</v>
      </c>
      <c r="D26" s="1" t="s">
        <v>37</v>
      </c>
      <c r="E26" s="1">
        <v>21</v>
      </c>
      <c r="F26" s="1" t="s">
        <v>31</v>
      </c>
      <c r="G26" s="1" t="s">
        <v>32</v>
      </c>
      <c r="H26" s="1">
        <v>113711.09326584509</v>
      </c>
      <c r="I26" s="2">
        <v>554000126953</v>
      </c>
      <c r="J26" s="1" t="s">
        <v>61</v>
      </c>
      <c r="K26" s="1">
        <v>103890</v>
      </c>
      <c r="L26" s="1" t="s">
        <v>34</v>
      </c>
      <c r="M26">
        <v>1154497846</v>
      </c>
      <c r="O26">
        <f t="shared" si="0"/>
        <v>102339.98393926058</v>
      </c>
      <c r="P26">
        <f t="shared" si="1"/>
        <v>11371.10932658451</v>
      </c>
      <c r="Q26" s="6">
        <v>46076</v>
      </c>
      <c r="R26" s="6">
        <v>46217</v>
      </c>
      <c r="V26" s="5">
        <v>46234</v>
      </c>
      <c r="W26" s="5"/>
      <c r="AC26" s="1">
        <v>2026</v>
      </c>
    </row>
    <row r="27" spans="1:29" x14ac:dyDescent="0.25">
      <c r="A27" s="7">
        <v>55727</v>
      </c>
      <c r="B27" s="1" t="s">
        <v>127</v>
      </c>
      <c r="C27" s="1" t="s">
        <v>91</v>
      </c>
      <c r="D27" s="1" t="s">
        <v>82</v>
      </c>
      <c r="E27" s="1">
        <v>21</v>
      </c>
      <c r="F27" s="1" t="s">
        <v>57</v>
      </c>
      <c r="G27" s="1" t="s">
        <v>53</v>
      </c>
      <c r="H27" s="1">
        <v>50000</v>
      </c>
      <c r="I27" s="2">
        <v>554000126863</v>
      </c>
      <c r="J27" s="1" t="s">
        <v>128</v>
      </c>
      <c r="K27" s="1">
        <v>16037570</v>
      </c>
      <c r="L27" s="1" t="s">
        <v>55</v>
      </c>
      <c r="M27" s="1">
        <v>1154496572</v>
      </c>
      <c r="N27" t="s">
        <v>84</v>
      </c>
      <c r="O27">
        <f t="shared" si="0"/>
        <v>45000</v>
      </c>
      <c r="P27">
        <f t="shared" si="1"/>
        <v>5000</v>
      </c>
      <c r="Q27" s="6">
        <v>46076</v>
      </c>
      <c r="R27" s="6">
        <v>46127</v>
      </c>
      <c r="S27" s="1" t="s">
        <v>44</v>
      </c>
      <c r="T27" s="6">
        <v>46133</v>
      </c>
      <c r="U27" s="6">
        <v>46162</v>
      </c>
      <c r="V27" s="5">
        <v>46204</v>
      </c>
      <c r="W27" s="5">
        <v>46204</v>
      </c>
      <c r="X27" t="s">
        <v>45</v>
      </c>
      <c r="AC27" s="1">
        <v>2026</v>
      </c>
    </row>
    <row r="28" spans="1:29" x14ac:dyDescent="0.25">
      <c r="A28" s="1">
        <v>55119</v>
      </c>
      <c r="B28" s="1" t="s">
        <v>62</v>
      </c>
      <c r="C28" s="1" t="s">
        <v>60</v>
      </c>
      <c r="D28" s="1" t="s">
        <v>37</v>
      </c>
      <c r="E28" s="1">
        <v>21</v>
      </c>
      <c r="F28" s="1" t="s">
        <v>31</v>
      </c>
      <c r="G28" s="1" t="s">
        <v>32</v>
      </c>
      <c r="H28" s="1">
        <v>120272.12612969485</v>
      </c>
      <c r="I28" s="2">
        <v>554000126954</v>
      </c>
      <c r="J28" s="1" t="s">
        <v>63</v>
      </c>
      <c r="K28" s="1">
        <v>16062243</v>
      </c>
      <c r="L28" s="1" t="s">
        <v>34</v>
      </c>
      <c r="M28">
        <v>1154497846</v>
      </c>
      <c r="O28">
        <f t="shared" si="0"/>
        <v>108244.91351672537</v>
      </c>
      <c r="P28">
        <f t="shared" si="1"/>
        <v>12027.212612969486</v>
      </c>
      <c r="Q28" s="6">
        <v>46076</v>
      </c>
      <c r="R28" s="6">
        <v>46217</v>
      </c>
      <c r="S28" s="1" t="s">
        <v>44</v>
      </c>
      <c r="V28" s="5">
        <v>46234</v>
      </c>
      <c r="W28" s="5"/>
      <c r="X28" t="s">
        <v>45</v>
      </c>
      <c r="AC28" s="1">
        <v>2026</v>
      </c>
    </row>
    <row r="29" spans="1:29" hidden="1" x14ac:dyDescent="0.25">
      <c r="A29" s="1">
        <v>55641</v>
      </c>
      <c r="B29" s="1" t="s">
        <v>118</v>
      </c>
      <c r="C29" s="1" t="s">
        <v>119</v>
      </c>
      <c r="D29" s="1" t="s">
        <v>48</v>
      </c>
      <c r="E29" s="1">
        <v>21</v>
      </c>
      <c r="F29" s="1" t="s">
        <v>74</v>
      </c>
      <c r="G29" s="1" t="s">
        <v>32</v>
      </c>
      <c r="H29" s="1">
        <v>134241.78575410802</v>
      </c>
      <c r="I29" s="2">
        <v>554000126960</v>
      </c>
      <c r="J29" s="1" t="s">
        <v>120</v>
      </c>
      <c r="K29" s="1">
        <v>16062243</v>
      </c>
      <c r="L29" s="1" t="s">
        <v>34</v>
      </c>
      <c r="M29">
        <v>1154497846</v>
      </c>
      <c r="O29">
        <f t="shared" si="0"/>
        <v>120817.60717869722</v>
      </c>
      <c r="P29">
        <f t="shared" si="1"/>
        <v>13424.178575410802</v>
      </c>
      <c r="Q29" s="6">
        <v>46076</v>
      </c>
      <c r="R29" s="6"/>
      <c r="V29" s="5">
        <v>46234</v>
      </c>
      <c r="W29" s="5"/>
      <c r="AC29" s="1">
        <v>2026</v>
      </c>
    </row>
    <row r="30" spans="1:29" x14ac:dyDescent="0.25">
      <c r="A30" s="1">
        <v>55721</v>
      </c>
      <c r="B30" s="1" t="s">
        <v>123</v>
      </c>
      <c r="C30" s="1" t="s">
        <v>91</v>
      </c>
      <c r="D30" s="1" t="s">
        <v>124</v>
      </c>
      <c r="E30" s="1">
        <v>21</v>
      </c>
      <c r="F30" s="1" t="s">
        <v>125</v>
      </c>
      <c r="G30" s="1" t="s">
        <v>32</v>
      </c>
      <c r="H30" s="1">
        <v>77249.862045187794</v>
      </c>
      <c r="I30" s="2">
        <v>554000126939</v>
      </c>
      <c r="J30" s="1" t="s">
        <v>126</v>
      </c>
      <c r="K30" s="1">
        <v>16062243</v>
      </c>
      <c r="L30" s="1" t="s">
        <v>34</v>
      </c>
      <c r="M30">
        <v>1154497846</v>
      </c>
      <c r="O30">
        <f t="shared" si="0"/>
        <v>69524.875840669018</v>
      </c>
      <c r="P30">
        <f t="shared" si="1"/>
        <v>7724.9862045187801</v>
      </c>
      <c r="Q30" s="6">
        <v>46076</v>
      </c>
      <c r="R30" s="6">
        <v>46217</v>
      </c>
      <c r="S30" s="1" t="s">
        <v>44</v>
      </c>
      <c r="U30" s="6">
        <v>46225</v>
      </c>
      <c r="V30" s="5">
        <v>46234</v>
      </c>
      <c r="W30" s="5"/>
      <c r="X30" t="s">
        <v>45</v>
      </c>
      <c r="AC30" s="1">
        <v>2026</v>
      </c>
    </row>
    <row r="31" spans="1:29" x14ac:dyDescent="0.25">
      <c r="A31" s="1">
        <v>55732</v>
      </c>
      <c r="B31" s="1" t="s">
        <v>129</v>
      </c>
      <c r="C31" s="1" t="s">
        <v>91</v>
      </c>
      <c r="D31" s="1" t="s">
        <v>130</v>
      </c>
      <c r="E31" s="1">
        <v>21</v>
      </c>
      <c r="F31" s="1" t="s">
        <v>125</v>
      </c>
      <c r="G31" s="1" t="s">
        <v>32</v>
      </c>
      <c r="H31" s="1">
        <v>77249.862045187794</v>
      </c>
      <c r="I31" s="2">
        <v>554000126941</v>
      </c>
      <c r="J31" s="1" t="s">
        <v>131</v>
      </c>
      <c r="K31" s="1">
        <v>16062243</v>
      </c>
      <c r="L31" s="1" t="s">
        <v>34</v>
      </c>
      <c r="M31">
        <v>1154497846</v>
      </c>
      <c r="O31">
        <f t="shared" si="0"/>
        <v>69524.875840669018</v>
      </c>
      <c r="P31">
        <f t="shared" si="1"/>
        <v>7724.9862045187801</v>
      </c>
      <c r="Q31" s="6">
        <v>46076</v>
      </c>
      <c r="R31" s="6">
        <v>46217</v>
      </c>
      <c r="S31" s="1" t="s">
        <v>44</v>
      </c>
      <c r="U31" s="6">
        <v>46225</v>
      </c>
      <c r="V31" s="5">
        <v>46234</v>
      </c>
      <c r="W31" s="5"/>
      <c r="X31" t="s">
        <v>45</v>
      </c>
      <c r="AC31" s="1">
        <v>2026</v>
      </c>
    </row>
    <row r="32" spans="1:29" x14ac:dyDescent="0.25">
      <c r="A32" s="7">
        <v>56017</v>
      </c>
      <c r="B32" s="1" t="s">
        <v>149</v>
      </c>
      <c r="C32" s="1" t="s">
        <v>91</v>
      </c>
      <c r="D32" s="1" t="s">
        <v>77</v>
      </c>
      <c r="E32" s="1">
        <v>21</v>
      </c>
      <c r="F32" s="1" t="s">
        <v>31</v>
      </c>
      <c r="G32" s="1" t="s">
        <v>32</v>
      </c>
      <c r="H32" s="1">
        <v>74706.231399647877</v>
      </c>
      <c r="I32" s="2">
        <v>554000126857</v>
      </c>
      <c r="J32" s="1" t="s">
        <v>150</v>
      </c>
      <c r="K32" s="1">
        <v>16062243</v>
      </c>
      <c r="L32" s="1" t="s">
        <v>34</v>
      </c>
      <c r="M32">
        <v>1154497846</v>
      </c>
      <c r="N32" t="s">
        <v>79</v>
      </c>
      <c r="O32">
        <f t="shared" si="0"/>
        <v>67235.608259683097</v>
      </c>
      <c r="P32">
        <f t="shared" si="1"/>
        <v>7470.6231399647877</v>
      </c>
      <c r="Q32" s="6">
        <v>46076</v>
      </c>
      <c r="R32" s="6">
        <v>46126</v>
      </c>
      <c r="S32" s="1" t="s">
        <v>44</v>
      </c>
      <c r="T32" s="6">
        <v>46126</v>
      </c>
      <c r="U32" s="6">
        <v>46225</v>
      </c>
      <c r="V32" s="5">
        <v>46234</v>
      </c>
      <c r="W32" s="5"/>
      <c r="X32" t="s">
        <v>45</v>
      </c>
      <c r="AC32" s="1">
        <v>2026</v>
      </c>
    </row>
    <row r="33" spans="1:29" x14ac:dyDescent="0.25">
      <c r="A33" s="7">
        <v>55999</v>
      </c>
      <c r="B33" s="1" t="s">
        <v>143</v>
      </c>
      <c r="C33" s="1" t="s">
        <v>91</v>
      </c>
      <c r="D33" s="1" t="s">
        <v>82</v>
      </c>
      <c r="E33" s="1">
        <v>21</v>
      </c>
      <c r="F33" s="1" t="s">
        <v>57</v>
      </c>
      <c r="G33" s="1" t="s">
        <v>53</v>
      </c>
      <c r="H33" s="1">
        <v>50000</v>
      </c>
      <c r="I33" s="2">
        <v>554000126877</v>
      </c>
      <c r="J33" s="1" t="s">
        <v>144</v>
      </c>
      <c r="K33" s="1">
        <v>16037570</v>
      </c>
      <c r="L33" s="1" t="s">
        <v>55</v>
      </c>
      <c r="M33" s="1">
        <v>1154496572</v>
      </c>
      <c r="N33" t="s">
        <v>84</v>
      </c>
      <c r="O33">
        <f t="shared" si="0"/>
        <v>45000</v>
      </c>
      <c r="P33">
        <f t="shared" si="1"/>
        <v>5000</v>
      </c>
      <c r="Q33" s="6">
        <v>46076</v>
      </c>
      <c r="R33" s="6">
        <v>46127</v>
      </c>
      <c r="S33" s="1" t="s">
        <v>44</v>
      </c>
      <c r="T33" s="6">
        <v>46133</v>
      </c>
      <c r="U33" s="6">
        <v>46141</v>
      </c>
      <c r="V33" s="5">
        <v>46296</v>
      </c>
      <c r="W33" s="5"/>
      <c r="X33" t="s">
        <v>45</v>
      </c>
      <c r="AC33" s="1">
        <v>2026</v>
      </c>
    </row>
    <row r="34" spans="1:29" x14ac:dyDescent="0.25">
      <c r="A34" s="7">
        <v>56000</v>
      </c>
      <c r="B34" s="1" t="s">
        <v>145</v>
      </c>
      <c r="C34" s="1" t="s">
        <v>91</v>
      </c>
      <c r="D34" s="1" t="s">
        <v>82</v>
      </c>
      <c r="E34" s="1">
        <v>21</v>
      </c>
      <c r="F34" s="1" t="s">
        <v>57</v>
      </c>
      <c r="G34" s="1" t="s">
        <v>53</v>
      </c>
      <c r="H34" s="1">
        <v>50000</v>
      </c>
      <c r="I34" s="2">
        <v>554000126878</v>
      </c>
      <c r="J34" s="1" t="s">
        <v>146</v>
      </c>
      <c r="K34" s="1">
        <v>16037570</v>
      </c>
      <c r="L34" s="1" t="s">
        <v>55</v>
      </c>
      <c r="M34" s="1">
        <v>1154496572</v>
      </c>
      <c r="N34" t="s">
        <v>84</v>
      </c>
      <c r="O34">
        <f t="shared" ref="O34:O65" si="2">0.9*H34</f>
        <v>45000</v>
      </c>
      <c r="P34">
        <f t="shared" ref="P34:P65" si="3">0.1*H34</f>
        <v>5000</v>
      </c>
      <c r="Q34" s="6">
        <v>46076</v>
      </c>
      <c r="R34" s="6">
        <v>46127</v>
      </c>
      <c r="S34" s="1" t="s">
        <v>44</v>
      </c>
      <c r="T34" s="6">
        <v>46133</v>
      </c>
      <c r="U34" s="6">
        <v>46141</v>
      </c>
      <c r="V34" s="5">
        <v>46204</v>
      </c>
      <c r="W34" s="5">
        <v>46204</v>
      </c>
      <c r="X34" t="s">
        <v>45</v>
      </c>
      <c r="AC34" s="1">
        <v>2026</v>
      </c>
    </row>
    <row r="35" spans="1:29" x14ac:dyDescent="0.25">
      <c r="A35" s="7">
        <v>56011</v>
      </c>
      <c r="B35" s="1" t="s">
        <v>147</v>
      </c>
      <c r="C35" s="1" t="s">
        <v>91</v>
      </c>
      <c r="D35" s="1" t="s">
        <v>82</v>
      </c>
      <c r="E35" s="1">
        <v>21</v>
      </c>
      <c r="F35" s="1" t="s">
        <v>57</v>
      </c>
      <c r="G35" s="1" t="s">
        <v>53</v>
      </c>
      <c r="H35" s="1">
        <v>50000</v>
      </c>
      <c r="I35" s="2">
        <v>554000126879</v>
      </c>
      <c r="J35" s="1" t="s">
        <v>148</v>
      </c>
      <c r="K35" s="1">
        <v>16037570</v>
      </c>
      <c r="L35" s="1" t="s">
        <v>55</v>
      </c>
      <c r="M35" s="1">
        <v>1154496572</v>
      </c>
      <c r="N35" t="s">
        <v>84</v>
      </c>
      <c r="O35">
        <f t="shared" si="2"/>
        <v>45000</v>
      </c>
      <c r="P35">
        <f t="shared" si="3"/>
        <v>5000</v>
      </c>
      <c r="Q35" s="6">
        <v>46076</v>
      </c>
      <c r="R35" s="6">
        <v>46127</v>
      </c>
      <c r="S35" s="1" t="s">
        <v>44</v>
      </c>
      <c r="T35" s="6">
        <v>46133</v>
      </c>
      <c r="U35" s="6">
        <v>46141</v>
      </c>
      <c r="V35" s="5">
        <v>46174</v>
      </c>
      <c r="W35" s="5">
        <v>46174</v>
      </c>
      <c r="X35" t="s">
        <v>45</v>
      </c>
      <c r="AC35" s="1">
        <v>2026</v>
      </c>
    </row>
    <row r="36" spans="1:29" hidden="1" x14ac:dyDescent="0.25">
      <c r="A36" s="1">
        <v>56067</v>
      </c>
      <c r="B36" s="1" t="s">
        <v>167</v>
      </c>
      <c r="C36" s="1" t="s">
        <v>168</v>
      </c>
      <c r="D36" s="1" t="s">
        <v>169</v>
      </c>
      <c r="E36" s="1">
        <v>21</v>
      </c>
      <c r="F36" s="1" t="s">
        <v>74</v>
      </c>
      <c r="G36" s="1" t="s">
        <v>32</v>
      </c>
      <c r="H36" s="1">
        <v>101970.20124706574</v>
      </c>
      <c r="I36" s="2">
        <v>554000126904</v>
      </c>
      <c r="J36" s="1" t="s">
        <v>170</v>
      </c>
      <c r="K36" s="1">
        <v>16062243</v>
      </c>
      <c r="L36" s="1" t="s">
        <v>34</v>
      </c>
      <c r="M36">
        <v>1154497846</v>
      </c>
      <c r="N36" t="s">
        <v>171</v>
      </c>
      <c r="O36">
        <f t="shared" si="2"/>
        <v>91773.181122359165</v>
      </c>
      <c r="P36">
        <f t="shared" si="3"/>
        <v>10197.020124706574</v>
      </c>
      <c r="Q36" s="6">
        <v>46076</v>
      </c>
      <c r="R36" s="6">
        <v>46126</v>
      </c>
      <c r="T36" s="6">
        <v>46126</v>
      </c>
      <c r="U36" s="6"/>
      <c r="V36" s="5">
        <v>46234</v>
      </c>
      <c r="W36" s="5"/>
      <c r="AC36" s="1">
        <v>2026</v>
      </c>
    </row>
    <row r="37" spans="1:29" x14ac:dyDescent="0.25">
      <c r="A37" s="7">
        <v>56020</v>
      </c>
      <c r="B37" s="1" t="s">
        <v>151</v>
      </c>
      <c r="C37" s="1" t="s">
        <v>91</v>
      </c>
      <c r="D37" s="1" t="s">
        <v>82</v>
      </c>
      <c r="E37" s="1">
        <v>21</v>
      </c>
      <c r="F37" s="1" t="s">
        <v>97</v>
      </c>
      <c r="G37" s="1" t="s">
        <v>53</v>
      </c>
      <c r="H37" s="1">
        <v>133750</v>
      </c>
      <c r="I37" s="2">
        <v>554000126864</v>
      </c>
      <c r="J37" s="1" t="s">
        <v>152</v>
      </c>
      <c r="K37" s="1">
        <v>16037570</v>
      </c>
      <c r="L37" s="1" t="s">
        <v>55</v>
      </c>
      <c r="M37" s="1">
        <v>1154496572</v>
      </c>
      <c r="N37" t="s">
        <v>84</v>
      </c>
      <c r="O37">
        <f t="shared" si="2"/>
        <v>120375</v>
      </c>
      <c r="P37">
        <f t="shared" si="3"/>
        <v>13375</v>
      </c>
      <c r="Q37" s="6">
        <v>46076</v>
      </c>
      <c r="R37" s="6">
        <v>46127</v>
      </c>
      <c r="S37" s="1" t="s">
        <v>44</v>
      </c>
      <c r="T37" s="6">
        <v>46133</v>
      </c>
      <c r="U37" s="6">
        <v>46162</v>
      </c>
      <c r="V37" s="5">
        <v>46327</v>
      </c>
      <c r="W37" s="5"/>
      <c r="X37" t="s">
        <v>45</v>
      </c>
      <c r="AC37" s="1">
        <v>2026</v>
      </c>
    </row>
    <row r="38" spans="1:29" x14ac:dyDescent="0.25">
      <c r="A38" s="7">
        <v>56023</v>
      </c>
      <c r="B38" s="1" t="s">
        <v>153</v>
      </c>
      <c r="C38" s="1" t="s">
        <v>154</v>
      </c>
      <c r="D38" s="1" t="s">
        <v>96</v>
      </c>
      <c r="E38" s="1">
        <v>21</v>
      </c>
      <c r="F38" s="1" t="s">
        <v>97</v>
      </c>
      <c r="G38" s="1" t="s">
        <v>41</v>
      </c>
      <c r="H38" s="1">
        <v>65675.16</v>
      </c>
      <c r="I38" s="2">
        <v>554000126944</v>
      </c>
      <c r="J38" s="1" t="s">
        <v>155</v>
      </c>
      <c r="K38" s="1">
        <v>15655464</v>
      </c>
      <c r="L38" s="1" t="s">
        <v>43</v>
      </c>
      <c r="M38" s="1">
        <v>1154497375</v>
      </c>
      <c r="O38">
        <f t="shared" si="2"/>
        <v>59107.644000000008</v>
      </c>
      <c r="P38">
        <f t="shared" si="3"/>
        <v>6567.5160000000005</v>
      </c>
      <c r="Q38" s="6">
        <v>46076</v>
      </c>
      <c r="R38" s="6">
        <v>46111</v>
      </c>
      <c r="S38" s="1" t="s">
        <v>44</v>
      </c>
      <c r="T38" s="6">
        <v>46203</v>
      </c>
      <c r="V38" s="5">
        <v>46266</v>
      </c>
      <c r="W38" s="5"/>
      <c r="X38" t="s">
        <v>45</v>
      </c>
      <c r="AC38" s="1">
        <v>2026</v>
      </c>
    </row>
    <row r="39" spans="1:29" hidden="1" x14ac:dyDescent="0.25">
      <c r="A39" s="1">
        <v>56072</v>
      </c>
      <c r="B39" s="1" t="s">
        <v>172</v>
      </c>
      <c r="C39" s="1" t="s">
        <v>168</v>
      </c>
      <c r="D39" s="1" t="s">
        <v>130</v>
      </c>
      <c r="E39" s="1">
        <v>21</v>
      </c>
      <c r="F39" s="1" t="s">
        <v>74</v>
      </c>
      <c r="G39" s="1" t="s">
        <v>32</v>
      </c>
      <c r="H39" s="1">
        <v>96202.595613262922</v>
      </c>
      <c r="I39" s="2">
        <v>554000126905</v>
      </c>
      <c r="J39" s="1" t="s">
        <v>173</v>
      </c>
      <c r="K39" s="1">
        <v>16062243</v>
      </c>
      <c r="L39" s="1" t="s">
        <v>34</v>
      </c>
      <c r="M39">
        <v>1154497846</v>
      </c>
      <c r="N39" t="s">
        <v>171</v>
      </c>
      <c r="O39">
        <f t="shared" si="2"/>
        <v>86582.336051936625</v>
      </c>
      <c r="P39">
        <f t="shared" si="3"/>
        <v>9620.2595613262929</v>
      </c>
      <c r="Q39" s="6">
        <v>46076</v>
      </c>
      <c r="R39" s="6">
        <v>46126</v>
      </c>
      <c r="T39" s="6">
        <v>46126</v>
      </c>
      <c r="U39" s="6"/>
      <c r="V39" s="5">
        <v>46234</v>
      </c>
      <c r="W39" s="5"/>
      <c r="AC39" s="1">
        <v>2026</v>
      </c>
    </row>
    <row r="40" spans="1:29" x14ac:dyDescent="0.25">
      <c r="A40" s="7">
        <v>56041</v>
      </c>
      <c r="B40" s="1" t="s">
        <v>160</v>
      </c>
      <c r="C40" s="1" t="s">
        <v>91</v>
      </c>
      <c r="D40" s="1" t="s">
        <v>161</v>
      </c>
      <c r="E40" s="1">
        <v>21</v>
      </c>
      <c r="F40" s="1" t="s">
        <v>125</v>
      </c>
      <c r="G40" s="1" t="s">
        <v>53</v>
      </c>
      <c r="H40" s="1">
        <v>72000</v>
      </c>
      <c r="I40" s="2">
        <v>554000126942</v>
      </c>
      <c r="J40" s="1" t="s">
        <v>98</v>
      </c>
      <c r="K40" s="1">
        <v>16037570</v>
      </c>
      <c r="L40" s="1" t="s">
        <v>55</v>
      </c>
      <c r="M40" s="1">
        <v>1154496572</v>
      </c>
      <c r="O40">
        <f t="shared" si="2"/>
        <v>64800</v>
      </c>
      <c r="P40">
        <f t="shared" si="3"/>
        <v>7200</v>
      </c>
      <c r="Q40" s="6">
        <v>46076</v>
      </c>
      <c r="R40" s="6">
        <v>46127</v>
      </c>
      <c r="S40" s="1" t="s">
        <v>44</v>
      </c>
      <c r="T40" s="6">
        <v>46133</v>
      </c>
      <c r="U40" s="6">
        <v>46162</v>
      </c>
      <c r="V40" s="5">
        <v>46327</v>
      </c>
      <c r="W40" s="5"/>
      <c r="X40" t="s">
        <v>45</v>
      </c>
      <c r="AC40" s="1">
        <v>2026</v>
      </c>
    </row>
    <row r="41" spans="1:29" x14ac:dyDescent="0.25">
      <c r="A41" s="7">
        <v>56058</v>
      </c>
      <c r="B41" s="1" t="s">
        <v>162</v>
      </c>
      <c r="C41" s="1" t="s">
        <v>81</v>
      </c>
      <c r="D41" s="1" t="s">
        <v>82</v>
      </c>
      <c r="E41" s="1">
        <v>21</v>
      </c>
      <c r="F41" s="1" t="s">
        <v>74</v>
      </c>
      <c r="G41" s="1" t="s">
        <v>53</v>
      </c>
      <c r="H41" s="1">
        <v>50000</v>
      </c>
      <c r="I41" s="2">
        <v>554000126902</v>
      </c>
      <c r="J41" s="1" t="s">
        <v>163</v>
      </c>
      <c r="K41" s="1">
        <v>16037570</v>
      </c>
      <c r="L41" s="1" t="s">
        <v>55</v>
      </c>
      <c r="M41" s="1">
        <v>1154496572</v>
      </c>
      <c r="N41" t="s">
        <v>84</v>
      </c>
      <c r="O41">
        <f t="shared" si="2"/>
        <v>45000</v>
      </c>
      <c r="P41">
        <f t="shared" si="3"/>
        <v>5000</v>
      </c>
      <c r="Q41" s="6">
        <v>46076</v>
      </c>
      <c r="R41" s="6">
        <v>46127</v>
      </c>
      <c r="S41" s="1" t="s">
        <v>44</v>
      </c>
      <c r="T41" s="6">
        <v>46133</v>
      </c>
      <c r="U41" s="6">
        <v>46162</v>
      </c>
      <c r="V41" s="5">
        <v>46327</v>
      </c>
      <c r="W41" s="5"/>
      <c r="X41" t="s">
        <v>45</v>
      </c>
      <c r="AC41" s="1">
        <v>2026</v>
      </c>
    </row>
    <row r="42" spans="1:29" x14ac:dyDescent="0.25">
      <c r="A42" s="7">
        <v>56063</v>
      </c>
      <c r="B42" s="1" t="s">
        <v>164</v>
      </c>
      <c r="C42" s="1" t="s">
        <v>165</v>
      </c>
      <c r="D42" s="1" t="s">
        <v>82</v>
      </c>
      <c r="E42" s="1">
        <v>21</v>
      </c>
      <c r="F42" s="1" t="s">
        <v>74</v>
      </c>
      <c r="G42" s="1" t="s">
        <v>53</v>
      </c>
      <c r="H42" s="1">
        <v>55385</v>
      </c>
      <c r="I42" s="2">
        <v>554000126903</v>
      </c>
      <c r="J42" s="1" t="s">
        <v>166</v>
      </c>
      <c r="K42" s="1">
        <v>16037570</v>
      </c>
      <c r="L42" s="1" t="s">
        <v>55</v>
      </c>
      <c r="M42" s="1">
        <v>1154496572</v>
      </c>
      <c r="N42" t="s">
        <v>84</v>
      </c>
      <c r="O42">
        <f t="shared" si="2"/>
        <v>49846.5</v>
      </c>
      <c r="P42">
        <f t="shared" si="3"/>
        <v>5538.5</v>
      </c>
      <c r="Q42" s="6">
        <v>46076</v>
      </c>
      <c r="R42" s="6">
        <v>46127</v>
      </c>
      <c r="S42" s="1" t="s">
        <v>44</v>
      </c>
      <c r="T42" s="6">
        <v>46133</v>
      </c>
      <c r="U42" s="6">
        <v>46162</v>
      </c>
      <c r="V42" s="5">
        <v>46204</v>
      </c>
      <c r="W42" s="12">
        <v>46233</v>
      </c>
      <c r="X42" t="s">
        <v>45</v>
      </c>
      <c r="AC42" s="1">
        <v>2026</v>
      </c>
    </row>
    <row r="43" spans="1:29" hidden="1" x14ac:dyDescent="0.25">
      <c r="A43" s="1">
        <v>55075</v>
      </c>
      <c r="B43" s="1" t="s">
        <v>28</v>
      </c>
      <c r="C43" s="1" t="s">
        <v>29</v>
      </c>
      <c r="D43" s="1" t="s">
        <v>30</v>
      </c>
      <c r="E43" s="1">
        <v>21</v>
      </c>
      <c r="F43" s="1" t="s">
        <v>31</v>
      </c>
      <c r="G43" s="1" t="s">
        <v>32</v>
      </c>
      <c r="H43" s="1">
        <v>103890.585049883</v>
      </c>
      <c r="I43" s="2">
        <v>554000126947</v>
      </c>
      <c r="J43" s="1" t="s">
        <v>33</v>
      </c>
      <c r="K43" s="1">
        <v>16062243</v>
      </c>
      <c r="L43" s="1" t="s">
        <v>34</v>
      </c>
      <c r="M43">
        <v>1154497846</v>
      </c>
      <c r="O43">
        <f t="shared" si="2"/>
        <v>93501.526544894703</v>
      </c>
      <c r="P43">
        <f t="shared" si="3"/>
        <v>10389.058504988301</v>
      </c>
      <c r="Q43" s="6">
        <v>46076</v>
      </c>
      <c r="R43" s="6"/>
      <c r="V43" s="5">
        <v>46264</v>
      </c>
      <c r="AC43" s="1">
        <v>2026</v>
      </c>
    </row>
    <row r="44" spans="1:29" hidden="1" x14ac:dyDescent="0.25">
      <c r="A44" s="1">
        <v>55128</v>
      </c>
      <c r="B44" s="1" t="s">
        <v>64</v>
      </c>
      <c r="C44" s="1" t="s">
        <v>65</v>
      </c>
      <c r="D44" s="1" t="s">
        <v>37</v>
      </c>
      <c r="E44" s="1">
        <v>21</v>
      </c>
      <c r="F44" s="1" t="s">
        <v>31</v>
      </c>
      <c r="G44" s="1" t="s">
        <v>32</v>
      </c>
      <c r="H44" s="1">
        <v>86361.687162558694</v>
      </c>
      <c r="I44" s="2">
        <v>554000126955</v>
      </c>
      <c r="J44" s="1" t="s">
        <v>66</v>
      </c>
      <c r="K44" s="1">
        <v>16062243</v>
      </c>
      <c r="L44" s="1" t="s">
        <v>34</v>
      </c>
      <c r="M44">
        <v>1154497846</v>
      </c>
      <c r="O44">
        <f t="shared" si="2"/>
        <v>77725.518446302827</v>
      </c>
      <c r="P44">
        <f t="shared" si="3"/>
        <v>8636.1687162558701</v>
      </c>
      <c r="Q44" s="6">
        <v>46076</v>
      </c>
      <c r="R44" s="6">
        <v>46217</v>
      </c>
      <c r="U44" s="6"/>
      <c r="V44" s="5">
        <v>46264</v>
      </c>
      <c r="W44" s="5"/>
      <c r="AC44" s="1">
        <v>2026</v>
      </c>
    </row>
    <row r="45" spans="1:29" hidden="1" x14ac:dyDescent="0.25">
      <c r="A45" s="1">
        <v>55130</v>
      </c>
      <c r="B45" s="1" t="s">
        <v>67</v>
      </c>
      <c r="C45" s="1" t="s">
        <v>68</v>
      </c>
      <c r="D45" s="1" t="s">
        <v>69</v>
      </c>
      <c r="E45" s="1">
        <v>21</v>
      </c>
      <c r="F45" s="1" t="s">
        <v>31</v>
      </c>
      <c r="G45" s="1" t="s">
        <v>32</v>
      </c>
      <c r="H45" s="1">
        <v>108773.21415786385</v>
      </c>
      <c r="I45" s="2">
        <v>554000126956</v>
      </c>
      <c r="J45" s="1" t="s">
        <v>70</v>
      </c>
      <c r="K45" s="1">
        <v>16062243</v>
      </c>
      <c r="L45" s="1" t="s">
        <v>34</v>
      </c>
      <c r="M45">
        <v>1154497846</v>
      </c>
      <c r="O45">
        <f t="shared" si="2"/>
        <v>97895.892742077471</v>
      </c>
      <c r="P45">
        <f t="shared" si="3"/>
        <v>10877.321415786386</v>
      </c>
      <c r="Q45" s="6">
        <v>46076</v>
      </c>
      <c r="R45" s="6"/>
      <c r="V45" s="5">
        <v>46264</v>
      </c>
      <c r="W45" s="5"/>
      <c r="AC45" s="1">
        <v>2026</v>
      </c>
    </row>
    <row r="46" spans="1:29" x14ac:dyDescent="0.25">
      <c r="A46" s="7">
        <v>56078</v>
      </c>
      <c r="B46" s="8" t="s">
        <v>179</v>
      </c>
      <c r="C46" s="8" t="s">
        <v>72</v>
      </c>
      <c r="D46" s="1" t="s">
        <v>180</v>
      </c>
      <c r="E46" s="8">
        <v>45</v>
      </c>
      <c r="F46" s="8" t="s">
        <v>176</v>
      </c>
      <c r="G46" s="8" t="s">
        <v>53</v>
      </c>
      <c r="H46" s="1">
        <v>65912</v>
      </c>
      <c r="I46" s="2">
        <v>554000126908</v>
      </c>
      <c r="J46" s="1" t="s">
        <v>181</v>
      </c>
      <c r="K46" s="1">
        <v>16037570</v>
      </c>
      <c r="L46" s="1" t="s">
        <v>55</v>
      </c>
      <c r="M46" s="1">
        <v>1154496572</v>
      </c>
      <c r="O46">
        <f t="shared" si="2"/>
        <v>59320.800000000003</v>
      </c>
      <c r="P46">
        <f t="shared" si="3"/>
        <v>6591.2000000000007</v>
      </c>
      <c r="Q46" s="6">
        <v>46076</v>
      </c>
      <c r="R46" s="11">
        <v>46127</v>
      </c>
      <c r="S46" s="8" t="s">
        <v>44</v>
      </c>
      <c r="T46" s="11">
        <v>46133</v>
      </c>
      <c r="U46" s="11"/>
      <c r="V46" s="5">
        <v>46235</v>
      </c>
      <c r="W46" s="5"/>
      <c r="X46" t="s">
        <v>45</v>
      </c>
      <c r="AA46" s="1">
        <v>127</v>
      </c>
      <c r="AC46" s="1">
        <v>2026</v>
      </c>
    </row>
    <row r="47" spans="1:29" hidden="1" x14ac:dyDescent="0.25">
      <c r="A47" s="1">
        <v>55426</v>
      </c>
      <c r="B47" s="1" t="s">
        <v>104</v>
      </c>
      <c r="C47" s="1" t="s">
        <v>105</v>
      </c>
      <c r="D47" s="1" t="s">
        <v>106</v>
      </c>
      <c r="E47" s="1">
        <v>21</v>
      </c>
      <c r="F47" s="1" t="s">
        <v>107</v>
      </c>
      <c r="G47" s="1" t="s">
        <v>32</v>
      </c>
      <c r="H47" s="1">
        <v>71299.920730633807</v>
      </c>
      <c r="I47" s="2">
        <v>554000126974</v>
      </c>
      <c r="J47" s="1" t="s">
        <v>108</v>
      </c>
      <c r="K47" s="1">
        <v>16062243</v>
      </c>
      <c r="L47" s="1" t="s">
        <v>34</v>
      </c>
      <c r="M47">
        <v>1154497846</v>
      </c>
      <c r="O47">
        <f t="shared" si="2"/>
        <v>64169.928657570425</v>
      </c>
      <c r="P47">
        <f t="shared" si="3"/>
        <v>7129.9920730633812</v>
      </c>
      <c r="Q47" s="6">
        <v>46076</v>
      </c>
      <c r="R47" s="6"/>
      <c r="V47" s="5">
        <v>46264</v>
      </c>
      <c r="W47" s="5"/>
      <c r="AC47" s="1">
        <v>2026</v>
      </c>
    </row>
    <row r="48" spans="1:29" hidden="1" x14ac:dyDescent="0.25">
      <c r="A48" s="1">
        <v>55587</v>
      </c>
      <c r="B48" s="1" t="s">
        <v>112</v>
      </c>
      <c r="C48" s="1" t="s">
        <v>113</v>
      </c>
      <c r="D48" s="1" t="s">
        <v>114</v>
      </c>
      <c r="E48" s="1">
        <v>21</v>
      </c>
      <c r="F48" s="1" t="s">
        <v>31</v>
      </c>
      <c r="G48" s="1" t="s">
        <v>32</v>
      </c>
      <c r="H48" s="1">
        <v>101907.01697476527</v>
      </c>
      <c r="I48" s="2">
        <v>554000126957</v>
      </c>
      <c r="J48" s="1" t="s">
        <v>115</v>
      </c>
      <c r="K48" s="1">
        <v>16062243</v>
      </c>
      <c r="L48" s="1" t="s">
        <v>34</v>
      </c>
      <c r="M48">
        <v>1154497846</v>
      </c>
      <c r="O48">
        <f t="shared" si="2"/>
        <v>91716.315277288741</v>
      </c>
      <c r="P48">
        <f t="shared" si="3"/>
        <v>10190.701697476528</v>
      </c>
      <c r="Q48" s="6">
        <v>46076</v>
      </c>
      <c r="R48" s="6"/>
      <c r="V48" s="5">
        <v>46264</v>
      </c>
      <c r="W48" s="5"/>
      <c r="AC48" s="1">
        <v>2026</v>
      </c>
    </row>
    <row r="49" spans="1:29" hidden="1" x14ac:dyDescent="0.25">
      <c r="A49" s="1">
        <v>55588</v>
      </c>
      <c r="B49" s="1" t="s">
        <v>116</v>
      </c>
      <c r="C49" s="1" t="s">
        <v>68</v>
      </c>
      <c r="D49" s="1" t="s">
        <v>114</v>
      </c>
      <c r="E49" s="1">
        <v>21</v>
      </c>
      <c r="F49" s="1" t="s">
        <v>31</v>
      </c>
      <c r="G49" s="1" t="s">
        <v>32</v>
      </c>
      <c r="H49" s="1">
        <v>106942.2282423709</v>
      </c>
      <c r="I49" s="2">
        <v>554000126958</v>
      </c>
      <c r="J49" s="1" t="s">
        <v>117</v>
      </c>
      <c r="K49" s="1">
        <v>16062243</v>
      </c>
      <c r="L49" s="1" t="s">
        <v>34</v>
      </c>
      <c r="M49">
        <v>1154497846</v>
      </c>
      <c r="O49">
        <f t="shared" si="2"/>
        <v>96248.005418133806</v>
      </c>
      <c r="P49">
        <f t="shared" si="3"/>
        <v>10694.222824237091</v>
      </c>
      <c r="Q49" s="6">
        <v>46076</v>
      </c>
      <c r="R49" s="6"/>
      <c r="V49" s="5">
        <v>46264</v>
      </c>
      <c r="W49" s="5"/>
      <c r="AC49" s="1">
        <v>2026</v>
      </c>
    </row>
    <row r="50" spans="1:29" hidden="1" x14ac:dyDescent="0.25">
      <c r="A50" s="1">
        <v>56076</v>
      </c>
      <c r="B50" s="1" t="s">
        <v>174</v>
      </c>
      <c r="C50" s="1" t="s">
        <v>60</v>
      </c>
      <c r="D50" s="1" t="s">
        <v>175</v>
      </c>
      <c r="E50" s="1">
        <v>45</v>
      </c>
      <c r="F50" s="1" t="s">
        <v>176</v>
      </c>
      <c r="G50" s="1" t="s">
        <v>32</v>
      </c>
      <c r="H50" s="1">
        <v>130144.95476819252</v>
      </c>
      <c r="I50" s="2">
        <v>554000126819</v>
      </c>
      <c r="J50" s="1" t="s">
        <v>177</v>
      </c>
      <c r="K50" s="1">
        <v>16062243</v>
      </c>
      <c r="L50" s="1" t="s">
        <v>34</v>
      </c>
      <c r="M50">
        <v>1154497846</v>
      </c>
      <c r="N50" t="s">
        <v>178</v>
      </c>
      <c r="O50">
        <f t="shared" si="2"/>
        <v>117130.45929137326</v>
      </c>
      <c r="P50">
        <f t="shared" si="3"/>
        <v>13014.495476819253</v>
      </c>
      <c r="Q50" s="6">
        <v>46076</v>
      </c>
      <c r="R50" s="6">
        <v>46126</v>
      </c>
      <c r="T50" s="6">
        <v>46126</v>
      </c>
      <c r="U50" s="6"/>
      <c r="V50" s="5">
        <v>46264</v>
      </c>
      <c r="W50" s="5"/>
      <c r="AC50" s="1">
        <v>2026</v>
      </c>
    </row>
    <row r="51" spans="1:29" hidden="1" x14ac:dyDescent="0.25">
      <c r="A51" s="1">
        <v>58089</v>
      </c>
      <c r="B51" s="1" t="s">
        <v>301</v>
      </c>
      <c r="C51" s="1" t="s">
        <v>302</v>
      </c>
      <c r="D51" s="1" t="s">
        <v>259</v>
      </c>
      <c r="E51" s="1">
        <v>45</v>
      </c>
      <c r="F51" s="1" t="s">
        <v>176</v>
      </c>
      <c r="G51" s="1" t="s">
        <v>32</v>
      </c>
      <c r="H51" s="1">
        <v>101482.57918133803</v>
      </c>
      <c r="I51" s="2">
        <v>554000126916</v>
      </c>
      <c r="J51" s="1" t="s">
        <v>303</v>
      </c>
      <c r="K51" s="1">
        <v>16062243</v>
      </c>
      <c r="L51" s="1" t="s">
        <v>34</v>
      </c>
      <c r="M51">
        <v>1154497846</v>
      </c>
      <c r="O51">
        <f t="shared" si="2"/>
        <v>91334.321263204227</v>
      </c>
      <c r="P51">
        <f t="shared" si="3"/>
        <v>10148.257918133804</v>
      </c>
      <c r="Q51" s="6">
        <v>46076</v>
      </c>
      <c r="R51" s="6"/>
      <c r="V51" s="5">
        <v>46264</v>
      </c>
      <c r="W51" s="5"/>
      <c r="AC51" s="1">
        <v>2026</v>
      </c>
    </row>
    <row r="52" spans="1:29" hidden="1" x14ac:dyDescent="0.25">
      <c r="A52" s="1">
        <v>55076</v>
      </c>
      <c r="B52" s="1" t="s">
        <v>35</v>
      </c>
      <c r="C52" s="1" t="s">
        <v>36</v>
      </c>
      <c r="D52" s="1" t="s">
        <v>37</v>
      </c>
      <c r="E52" s="1">
        <v>21</v>
      </c>
      <c r="F52" s="1" t="s">
        <v>31</v>
      </c>
      <c r="G52" s="1" t="s">
        <v>32</v>
      </c>
      <c r="H52" s="1">
        <v>63163.384477699539</v>
      </c>
      <c r="I52" s="2">
        <v>554000126946</v>
      </c>
      <c r="J52" s="1" t="s">
        <v>38</v>
      </c>
      <c r="K52" s="1">
        <v>16062243</v>
      </c>
      <c r="L52" s="1" t="s">
        <v>34</v>
      </c>
      <c r="M52">
        <v>1154497846</v>
      </c>
      <c r="O52">
        <f t="shared" si="2"/>
        <v>56847.046029929588</v>
      </c>
      <c r="P52">
        <f t="shared" si="3"/>
        <v>6316.3384477699547</v>
      </c>
      <c r="Q52" s="6">
        <v>46076</v>
      </c>
      <c r="R52" s="6"/>
      <c r="V52" s="5">
        <v>46295</v>
      </c>
      <c r="AC52" s="1">
        <v>2026</v>
      </c>
    </row>
    <row r="53" spans="1:29" hidden="1" x14ac:dyDescent="0.25">
      <c r="A53" s="1">
        <v>56135</v>
      </c>
      <c r="B53" s="1" t="s">
        <v>201</v>
      </c>
      <c r="C53" s="1" t="s">
        <v>60</v>
      </c>
      <c r="D53" s="1" t="s">
        <v>192</v>
      </c>
      <c r="E53" s="1">
        <v>45</v>
      </c>
      <c r="F53" s="1" t="s">
        <v>193</v>
      </c>
      <c r="G53" s="1" t="s">
        <v>32</v>
      </c>
      <c r="H53" s="1">
        <v>127740.18364143194</v>
      </c>
      <c r="I53" s="2">
        <v>554000126928</v>
      </c>
      <c r="J53" s="1" t="s">
        <v>202</v>
      </c>
      <c r="K53" s="1">
        <v>16062243</v>
      </c>
      <c r="L53" s="1" t="s">
        <v>34</v>
      </c>
      <c r="M53">
        <v>1154497846</v>
      </c>
      <c r="O53">
        <f t="shared" si="2"/>
        <v>114966.16527728875</v>
      </c>
      <c r="P53">
        <f t="shared" si="3"/>
        <v>12774.018364143194</v>
      </c>
      <c r="Q53" s="6">
        <v>46076</v>
      </c>
      <c r="R53" s="6"/>
      <c r="V53" s="5">
        <v>46295</v>
      </c>
      <c r="W53" s="5"/>
      <c r="AC53" s="1">
        <v>2026</v>
      </c>
    </row>
    <row r="54" spans="1:29" hidden="1" x14ac:dyDescent="0.25">
      <c r="A54" s="1">
        <v>57110</v>
      </c>
      <c r="B54" s="1" t="s">
        <v>245</v>
      </c>
      <c r="C54" s="1" t="s">
        <v>246</v>
      </c>
      <c r="D54" s="1" t="s">
        <v>247</v>
      </c>
      <c r="E54" s="1">
        <v>45</v>
      </c>
      <c r="F54" s="1" t="s">
        <v>176</v>
      </c>
      <c r="G54" s="1" t="s">
        <v>32</v>
      </c>
      <c r="H54" s="1">
        <v>127034.78105927231</v>
      </c>
      <c r="I54" s="2">
        <v>554000126914</v>
      </c>
      <c r="J54" s="1" t="s">
        <v>248</v>
      </c>
      <c r="K54" s="1">
        <v>16062243</v>
      </c>
      <c r="L54" s="1" t="s">
        <v>34</v>
      </c>
      <c r="M54">
        <v>1154497846</v>
      </c>
      <c r="O54">
        <f t="shared" si="2"/>
        <v>114331.30295334508</v>
      </c>
      <c r="P54">
        <f t="shared" si="3"/>
        <v>12703.478105927232</v>
      </c>
      <c r="Q54" s="6">
        <v>46076</v>
      </c>
      <c r="R54" s="6"/>
      <c r="V54" s="5">
        <v>46295</v>
      </c>
      <c r="W54" s="5"/>
      <c r="AC54" s="1">
        <v>2026</v>
      </c>
    </row>
    <row r="55" spans="1:29" hidden="1" x14ac:dyDescent="0.25">
      <c r="A55" s="1">
        <v>57134</v>
      </c>
      <c r="B55" s="1" t="s">
        <v>258</v>
      </c>
      <c r="C55" s="1" t="s">
        <v>246</v>
      </c>
      <c r="D55" s="1" t="s">
        <v>259</v>
      </c>
      <c r="E55" s="1">
        <v>45</v>
      </c>
      <c r="F55" s="1" t="s">
        <v>193</v>
      </c>
      <c r="G55" s="1" t="s">
        <v>32</v>
      </c>
      <c r="H55" s="1">
        <v>163704.71415786384</v>
      </c>
      <c r="I55" s="2">
        <v>554000126936</v>
      </c>
      <c r="J55" s="1" t="s">
        <v>260</v>
      </c>
      <c r="K55" s="1">
        <v>16062243</v>
      </c>
      <c r="L55" s="1" t="s">
        <v>34</v>
      </c>
      <c r="M55">
        <v>1154497846</v>
      </c>
      <c r="O55">
        <f t="shared" si="2"/>
        <v>147334.24274207745</v>
      </c>
      <c r="P55">
        <f t="shared" si="3"/>
        <v>16370.471415786385</v>
      </c>
      <c r="Q55" s="6">
        <v>46076</v>
      </c>
      <c r="R55" s="6"/>
      <c r="V55" s="5">
        <v>46295</v>
      </c>
      <c r="W55" s="5"/>
      <c r="AC55" s="1">
        <v>2026</v>
      </c>
    </row>
    <row r="56" spans="1:29" x14ac:dyDescent="0.25">
      <c r="A56" s="7">
        <v>56502</v>
      </c>
      <c r="B56" s="1" t="s">
        <v>213</v>
      </c>
      <c r="C56" s="1" t="s">
        <v>214</v>
      </c>
      <c r="D56" s="1" t="s">
        <v>215</v>
      </c>
      <c r="E56" s="1">
        <v>103</v>
      </c>
      <c r="F56" s="1" t="s">
        <v>216</v>
      </c>
      <c r="G56" s="1" t="s">
        <v>217</v>
      </c>
      <c r="H56" s="1">
        <v>58073.9</v>
      </c>
      <c r="I56" s="2">
        <v>554000126965</v>
      </c>
      <c r="J56" s="1" t="s">
        <v>218</v>
      </c>
      <c r="K56" s="1">
        <v>16097603</v>
      </c>
      <c r="L56" s="1" t="s">
        <v>219</v>
      </c>
      <c r="M56">
        <v>1154497721</v>
      </c>
      <c r="O56">
        <f t="shared" si="2"/>
        <v>52266.51</v>
      </c>
      <c r="P56">
        <f t="shared" si="3"/>
        <v>5807.39</v>
      </c>
      <c r="Q56" s="6">
        <v>46062</v>
      </c>
      <c r="R56" s="6">
        <v>46113</v>
      </c>
      <c r="S56" s="1" t="s">
        <v>220</v>
      </c>
      <c r="V56" s="5">
        <v>46266</v>
      </c>
      <c r="W56" s="5"/>
      <c r="X56" t="s">
        <v>45</v>
      </c>
      <c r="AC56" s="1">
        <v>2026</v>
      </c>
    </row>
    <row r="57" spans="1:29" x14ac:dyDescent="0.25">
      <c r="A57" s="1">
        <v>57136</v>
      </c>
      <c r="B57" s="1" t="s">
        <v>261</v>
      </c>
      <c r="C57" s="1" t="s">
        <v>60</v>
      </c>
      <c r="D57" s="1" t="s">
        <v>262</v>
      </c>
      <c r="E57" s="1">
        <v>45</v>
      </c>
      <c r="F57" s="1" t="s">
        <v>193</v>
      </c>
      <c r="G57" s="1" t="s">
        <v>32</v>
      </c>
      <c r="H57" s="1">
        <v>104936.03223298123</v>
      </c>
      <c r="I57" s="2">
        <v>554000126937</v>
      </c>
      <c r="J57" s="1" t="s">
        <v>263</v>
      </c>
      <c r="K57" s="1">
        <v>16062243</v>
      </c>
      <c r="L57" s="1" t="s">
        <v>34</v>
      </c>
      <c r="M57">
        <v>1154497846</v>
      </c>
      <c r="O57">
        <f t="shared" si="2"/>
        <v>94442.42900968311</v>
      </c>
      <c r="P57">
        <f t="shared" si="3"/>
        <v>10493.603223298123</v>
      </c>
      <c r="Q57" s="6">
        <v>46076</v>
      </c>
      <c r="R57" s="6">
        <v>46205</v>
      </c>
      <c r="S57" s="1" t="s">
        <v>44</v>
      </c>
      <c r="V57" s="5">
        <v>46295</v>
      </c>
      <c r="W57" s="5"/>
      <c r="X57" t="s">
        <v>45</v>
      </c>
      <c r="AC57" s="1">
        <v>2026</v>
      </c>
    </row>
    <row r="58" spans="1:29" hidden="1" x14ac:dyDescent="0.25">
      <c r="A58" s="1">
        <v>58077</v>
      </c>
      <c r="B58" s="1" t="s">
        <v>287</v>
      </c>
      <c r="C58" s="1" t="s">
        <v>60</v>
      </c>
      <c r="D58" s="1" t="s">
        <v>175</v>
      </c>
      <c r="E58" s="1">
        <v>45</v>
      </c>
      <c r="F58" s="1" t="s">
        <v>176</v>
      </c>
      <c r="G58" s="1" t="s">
        <v>32</v>
      </c>
      <c r="H58" s="1">
        <v>130144.95476819252</v>
      </c>
      <c r="I58" s="2">
        <v>554000126820</v>
      </c>
      <c r="J58" s="1" t="s">
        <v>288</v>
      </c>
      <c r="K58" s="1">
        <v>16062243</v>
      </c>
      <c r="L58" s="1" t="s">
        <v>34</v>
      </c>
      <c r="M58">
        <v>1154497846</v>
      </c>
      <c r="N58" t="s">
        <v>178</v>
      </c>
      <c r="O58">
        <f t="shared" si="2"/>
        <v>117130.45929137326</v>
      </c>
      <c r="P58">
        <f t="shared" si="3"/>
        <v>13014.495476819253</v>
      </c>
      <c r="Q58" s="6">
        <v>46076</v>
      </c>
      <c r="R58" s="6">
        <v>46126</v>
      </c>
      <c r="T58" s="6">
        <v>46126</v>
      </c>
      <c r="U58" s="6"/>
      <c r="V58" s="5">
        <v>46295</v>
      </c>
      <c r="W58" s="5"/>
      <c r="AC58" s="1">
        <v>2026</v>
      </c>
    </row>
    <row r="59" spans="1:29" hidden="1" x14ac:dyDescent="0.25">
      <c r="A59" s="1">
        <v>58078</v>
      </c>
      <c r="B59" s="1" t="s">
        <v>289</v>
      </c>
      <c r="C59" s="1" t="s">
        <v>60</v>
      </c>
      <c r="D59" s="1" t="s">
        <v>175</v>
      </c>
      <c r="E59" s="1">
        <v>45</v>
      </c>
      <c r="F59" s="1" t="s">
        <v>176</v>
      </c>
      <c r="G59" s="1" t="s">
        <v>32</v>
      </c>
      <c r="H59" s="1">
        <v>137430.75289025824</v>
      </c>
      <c r="I59" s="2">
        <v>554000126915</v>
      </c>
      <c r="J59" s="1" t="s">
        <v>290</v>
      </c>
      <c r="K59" s="1">
        <v>16062243</v>
      </c>
      <c r="L59" s="1" t="s">
        <v>34</v>
      </c>
      <c r="M59">
        <v>1154497846</v>
      </c>
      <c r="O59">
        <f t="shared" si="2"/>
        <v>123687.67760123243</v>
      </c>
      <c r="P59">
        <f t="shared" si="3"/>
        <v>13743.075289025825</v>
      </c>
      <c r="Q59" s="6">
        <v>46076</v>
      </c>
      <c r="R59" s="6"/>
      <c r="V59" s="5">
        <v>46295</v>
      </c>
      <c r="W59" s="5"/>
      <c r="AC59" s="1">
        <v>2026</v>
      </c>
    </row>
    <row r="60" spans="1:29" x14ac:dyDescent="0.25">
      <c r="A60" s="1">
        <v>58084</v>
      </c>
      <c r="B60" s="1" t="s">
        <v>291</v>
      </c>
      <c r="C60" s="1" t="s">
        <v>206</v>
      </c>
      <c r="D60" s="1" t="s">
        <v>292</v>
      </c>
      <c r="E60" s="1">
        <v>45</v>
      </c>
      <c r="F60" s="1" t="s">
        <v>176</v>
      </c>
      <c r="G60" s="1" t="s">
        <v>32</v>
      </c>
      <c r="H60" s="1">
        <v>146625.35382922538</v>
      </c>
      <c r="I60" s="2">
        <v>554000126815</v>
      </c>
      <c r="J60" s="1" t="s">
        <v>293</v>
      </c>
      <c r="K60" s="1">
        <v>16062243</v>
      </c>
      <c r="L60" s="1" t="s">
        <v>34</v>
      </c>
      <c r="M60">
        <v>1154497846</v>
      </c>
      <c r="N60" t="s">
        <v>294</v>
      </c>
      <c r="O60">
        <f t="shared" si="2"/>
        <v>131962.81844630284</v>
      </c>
      <c r="P60">
        <f t="shared" si="3"/>
        <v>14662.535382922539</v>
      </c>
      <c r="Q60" s="6">
        <v>46076</v>
      </c>
      <c r="R60" s="6">
        <v>46126</v>
      </c>
      <c r="S60" s="1" t="s">
        <v>44</v>
      </c>
      <c r="T60" s="6">
        <v>46126</v>
      </c>
      <c r="U60" s="6">
        <v>46224</v>
      </c>
      <c r="V60" s="5">
        <v>46295</v>
      </c>
      <c r="W60" s="5"/>
      <c r="X60" t="s">
        <v>45</v>
      </c>
      <c r="AC60" s="1">
        <v>2026</v>
      </c>
    </row>
    <row r="61" spans="1:29" x14ac:dyDescent="0.25">
      <c r="A61" s="1">
        <v>58085</v>
      </c>
      <c r="B61" s="1" t="s">
        <v>295</v>
      </c>
      <c r="C61" s="1" t="s">
        <v>206</v>
      </c>
      <c r="D61" s="1" t="s">
        <v>292</v>
      </c>
      <c r="E61" s="1">
        <v>45</v>
      </c>
      <c r="F61" s="1" t="s">
        <v>176</v>
      </c>
      <c r="G61" s="1" t="s">
        <v>32</v>
      </c>
      <c r="H61" s="1">
        <v>157322.10269512914</v>
      </c>
      <c r="I61" s="2">
        <v>554000126816</v>
      </c>
      <c r="J61" s="1" t="s">
        <v>296</v>
      </c>
      <c r="K61" s="1">
        <v>16062243</v>
      </c>
      <c r="L61" s="1" t="s">
        <v>34</v>
      </c>
      <c r="M61">
        <v>1154497846</v>
      </c>
      <c r="N61" t="s">
        <v>294</v>
      </c>
      <c r="O61">
        <f t="shared" si="2"/>
        <v>141589.89242561624</v>
      </c>
      <c r="P61">
        <f t="shared" si="3"/>
        <v>15732.210269512914</v>
      </c>
      <c r="Q61" s="6">
        <v>46076</v>
      </c>
      <c r="R61" s="6">
        <v>46126</v>
      </c>
      <c r="S61" s="1" t="s">
        <v>44</v>
      </c>
      <c r="T61" s="6">
        <v>46126</v>
      </c>
      <c r="U61" s="6">
        <v>46224</v>
      </c>
      <c r="V61" s="5">
        <v>46295</v>
      </c>
      <c r="W61" s="5"/>
      <c r="X61" t="s">
        <v>45</v>
      </c>
      <c r="AC61" s="1">
        <v>2026</v>
      </c>
    </row>
    <row r="62" spans="1:29" x14ac:dyDescent="0.25">
      <c r="A62" s="1">
        <v>58086</v>
      </c>
      <c r="B62" s="1" t="s">
        <v>297</v>
      </c>
      <c r="C62" s="1" t="s">
        <v>206</v>
      </c>
      <c r="D62" s="1" t="s">
        <v>292</v>
      </c>
      <c r="E62" s="1">
        <v>45</v>
      </c>
      <c r="F62" s="1" t="s">
        <v>176</v>
      </c>
      <c r="G62" s="1" t="s">
        <v>32</v>
      </c>
      <c r="H62" s="1">
        <v>153491.55101232397</v>
      </c>
      <c r="I62" s="2">
        <v>554000126817</v>
      </c>
      <c r="J62" s="1" t="s">
        <v>298</v>
      </c>
      <c r="K62" s="1">
        <v>16062243</v>
      </c>
      <c r="L62" s="1" t="s">
        <v>34</v>
      </c>
      <c r="M62">
        <v>1154497846</v>
      </c>
      <c r="N62" t="s">
        <v>294</v>
      </c>
      <c r="O62">
        <f t="shared" si="2"/>
        <v>138142.39591109156</v>
      </c>
      <c r="P62">
        <f t="shared" si="3"/>
        <v>15349.155101232398</v>
      </c>
      <c r="Q62" s="6">
        <v>46076</v>
      </c>
      <c r="R62" s="6">
        <v>46126</v>
      </c>
      <c r="S62" s="1" t="s">
        <v>44</v>
      </c>
      <c r="T62" s="6">
        <v>46126</v>
      </c>
      <c r="U62" s="6">
        <v>46224</v>
      </c>
      <c r="V62" s="5">
        <v>46295</v>
      </c>
      <c r="W62" s="5"/>
      <c r="X62" t="s">
        <v>45</v>
      </c>
      <c r="AC62" s="1">
        <v>2026</v>
      </c>
    </row>
    <row r="63" spans="1:29" x14ac:dyDescent="0.25">
      <c r="A63" s="1">
        <v>58087</v>
      </c>
      <c r="B63" s="1" t="s">
        <v>299</v>
      </c>
      <c r="C63" s="1" t="s">
        <v>206</v>
      </c>
      <c r="D63" s="1" t="s">
        <v>292</v>
      </c>
      <c r="E63" s="1">
        <v>45</v>
      </c>
      <c r="F63" s="1" t="s">
        <v>176</v>
      </c>
      <c r="G63" s="1" t="s">
        <v>32</v>
      </c>
      <c r="H63" s="1">
        <v>151965.72941607985</v>
      </c>
      <c r="I63" s="2">
        <v>554000126818</v>
      </c>
      <c r="J63" s="1" t="s">
        <v>300</v>
      </c>
      <c r="K63" s="1">
        <v>16062243</v>
      </c>
      <c r="L63" s="1" t="s">
        <v>34</v>
      </c>
      <c r="M63">
        <v>1154497846</v>
      </c>
      <c r="N63" t="s">
        <v>294</v>
      </c>
      <c r="O63">
        <f t="shared" si="2"/>
        <v>136769.15647447188</v>
      </c>
      <c r="P63">
        <f t="shared" si="3"/>
        <v>15196.572941607985</v>
      </c>
      <c r="Q63" s="6">
        <v>46076</v>
      </c>
      <c r="R63" s="6">
        <v>46126</v>
      </c>
      <c r="S63" s="1" t="s">
        <v>44</v>
      </c>
      <c r="T63" s="6">
        <v>46126</v>
      </c>
      <c r="U63" s="6">
        <v>46224</v>
      </c>
      <c r="V63" s="5">
        <v>46295</v>
      </c>
      <c r="W63" s="5"/>
      <c r="X63" t="s">
        <v>45</v>
      </c>
      <c r="AC63" s="1">
        <v>2026</v>
      </c>
    </row>
    <row r="64" spans="1:29" hidden="1" x14ac:dyDescent="0.25">
      <c r="A64" s="1">
        <v>58090</v>
      </c>
      <c r="B64" s="1" t="s">
        <v>304</v>
      </c>
      <c r="C64" s="1" t="s">
        <v>305</v>
      </c>
      <c r="D64" s="1" t="s">
        <v>52</v>
      </c>
      <c r="E64" s="1">
        <v>45</v>
      </c>
      <c r="F64" s="1" t="s">
        <v>176</v>
      </c>
      <c r="G64" s="1" t="s">
        <v>32</v>
      </c>
      <c r="H64" s="1">
        <v>113959.74115316903</v>
      </c>
      <c r="I64" s="2">
        <v>554000126917</v>
      </c>
      <c r="J64" s="1" t="s">
        <v>306</v>
      </c>
      <c r="K64" s="1">
        <v>16062243</v>
      </c>
      <c r="L64" s="1" t="s">
        <v>34</v>
      </c>
      <c r="M64">
        <v>1154497846</v>
      </c>
      <c r="O64">
        <f t="shared" si="2"/>
        <v>102563.76703785213</v>
      </c>
      <c r="P64">
        <f t="shared" si="3"/>
        <v>11395.974115316903</v>
      </c>
      <c r="Q64" s="6">
        <v>46076</v>
      </c>
      <c r="R64" s="6"/>
      <c r="V64" s="5">
        <v>46295</v>
      </c>
      <c r="W64" s="5"/>
      <c r="AC64" s="1">
        <v>2026</v>
      </c>
    </row>
    <row r="65" spans="1:29" hidden="1" x14ac:dyDescent="0.25">
      <c r="A65" s="1">
        <v>56033</v>
      </c>
      <c r="B65" s="1" t="s">
        <v>156</v>
      </c>
      <c r="C65" s="1" t="s">
        <v>157</v>
      </c>
      <c r="D65" s="1" t="s">
        <v>158</v>
      </c>
      <c r="E65" s="1">
        <v>21</v>
      </c>
      <c r="F65" s="1" t="s">
        <v>92</v>
      </c>
      <c r="G65" s="1" t="s">
        <v>32</v>
      </c>
      <c r="H65" s="1">
        <v>92243.546317488275</v>
      </c>
      <c r="I65" s="2">
        <v>554000127107</v>
      </c>
      <c r="J65" s="1" t="s">
        <v>159</v>
      </c>
      <c r="K65" s="1">
        <v>16062243</v>
      </c>
      <c r="L65" s="1" t="s">
        <v>34</v>
      </c>
      <c r="M65">
        <v>1154497846</v>
      </c>
      <c r="O65">
        <f t="shared" si="2"/>
        <v>83019.191685739454</v>
      </c>
      <c r="P65">
        <f t="shared" si="3"/>
        <v>9224.3546317488272</v>
      </c>
      <c r="Q65" s="6">
        <v>46076</v>
      </c>
      <c r="R65" s="6"/>
      <c r="V65" s="5">
        <v>46325</v>
      </c>
      <c r="W65" s="5"/>
      <c r="AC65" s="1">
        <v>2026</v>
      </c>
    </row>
    <row r="66" spans="1:29" hidden="1" x14ac:dyDescent="0.25">
      <c r="A66" s="1">
        <v>56122</v>
      </c>
      <c r="B66" s="1" t="s">
        <v>195</v>
      </c>
      <c r="C66" s="1" t="s">
        <v>196</v>
      </c>
      <c r="D66" s="1" t="s">
        <v>192</v>
      </c>
      <c r="E66" s="1">
        <v>45</v>
      </c>
      <c r="F66" s="1" t="s">
        <v>193</v>
      </c>
      <c r="G66" s="1" t="s">
        <v>32</v>
      </c>
      <c r="H66" s="1">
        <v>150339.20359448358</v>
      </c>
      <c r="I66" s="2">
        <v>554000126926</v>
      </c>
      <c r="J66" s="1" t="s">
        <v>197</v>
      </c>
      <c r="K66" s="1">
        <v>16062243</v>
      </c>
      <c r="L66" s="1" t="s">
        <v>34</v>
      </c>
      <c r="M66">
        <v>1154497846</v>
      </c>
      <c r="O66">
        <f t="shared" ref="O66:O86" si="4">0.9*H66</f>
        <v>135305.28323503523</v>
      </c>
      <c r="P66">
        <f t="shared" ref="P66:P86" si="5">0.1*H66</f>
        <v>15033.920359448359</v>
      </c>
      <c r="Q66" s="6">
        <v>46076</v>
      </c>
      <c r="R66" s="6"/>
      <c r="V66" s="5">
        <v>46325</v>
      </c>
      <c r="W66" s="5"/>
      <c r="AC66" s="1">
        <v>2026</v>
      </c>
    </row>
    <row r="67" spans="1:29" hidden="1" x14ac:dyDescent="0.25">
      <c r="A67" s="1">
        <v>56134</v>
      </c>
      <c r="B67" s="1" t="s">
        <v>198</v>
      </c>
      <c r="C67" s="1" t="s">
        <v>196</v>
      </c>
      <c r="D67" s="1" t="s">
        <v>199</v>
      </c>
      <c r="E67" s="1">
        <v>45</v>
      </c>
      <c r="F67" s="1" t="s">
        <v>193</v>
      </c>
      <c r="G67" s="1" t="s">
        <v>32</v>
      </c>
      <c r="H67" s="1">
        <v>139429.57918133805</v>
      </c>
      <c r="I67" s="2">
        <v>554000126927</v>
      </c>
      <c r="J67" s="1" t="s">
        <v>200</v>
      </c>
      <c r="K67" s="1">
        <v>16062243</v>
      </c>
      <c r="L67" s="1" t="s">
        <v>34</v>
      </c>
      <c r="M67">
        <v>1154497846</v>
      </c>
      <c r="O67">
        <f t="shared" si="4"/>
        <v>125486.62126320424</v>
      </c>
      <c r="P67">
        <f t="shared" si="5"/>
        <v>13942.957918133805</v>
      </c>
      <c r="Q67" s="6">
        <v>46076</v>
      </c>
      <c r="R67" s="6"/>
      <c r="V67" s="5">
        <v>46325</v>
      </c>
      <c r="W67" s="5"/>
      <c r="AC67" s="1">
        <v>2026</v>
      </c>
    </row>
    <row r="68" spans="1:29" hidden="1" x14ac:dyDescent="0.25">
      <c r="A68" s="1">
        <v>56136</v>
      </c>
      <c r="B68" s="1" t="s">
        <v>203</v>
      </c>
      <c r="C68" s="1" t="s">
        <v>60</v>
      </c>
      <c r="D68" s="1" t="s">
        <v>175</v>
      </c>
      <c r="E68" s="1">
        <v>45</v>
      </c>
      <c r="F68" s="1" t="s">
        <v>193</v>
      </c>
      <c r="G68" s="1" t="s">
        <v>32</v>
      </c>
      <c r="H68" s="1">
        <v>140923.95359448358</v>
      </c>
      <c r="I68" s="2">
        <v>554000126929</v>
      </c>
      <c r="J68" s="1" t="s">
        <v>204</v>
      </c>
      <c r="K68" s="1">
        <v>16062243</v>
      </c>
      <c r="L68" s="1" t="s">
        <v>34</v>
      </c>
      <c r="M68">
        <v>1154497846</v>
      </c>
      <c r="O68">
        <f t="shared" si="4"/>
        <v>126831.55823503522</v>
      </c>
      <c r="P68">
        <f t="shared" si="5"/>
        <v>14092.395359448359</v>
      </c>
      <c r="Q68" s="6">
        <v>46076</v>
      </c>
      <c r="R68" s="6"/>
      <c r="V68" s="5">
        <v>46325</v>
      </c>
      <c r="W68" s="5"/>
      <c r="AC68" s="1">
        <v>2026</v>
      </c>
    </row>
    <row r="69" spans="1:29" hidden="1" x14ac:dyDescent="0.25">
      <c r="A69" s="1">
        <v>56142</v>
      </c>
      <c r="B69" s="1" t="s">
        <v>210</v>
      </c>
      <c r="C69" s="1" t="s">
        <v>211</v>
      </c>
      <c r="D69" s="1" t="s">
        <v>52</v>
      </c>
      <c r="E69" s="1">
        <v>45</v>
      </c>
      <c r="F69" s="1" t="s">
        <v>193</v>
      </c>
      <c r="G69" s="1" t="s">
        <v>32</v>
      </c>
      <c r="H69" s="1">
        <v>215638.32566021127</v>
      </c>
      <c r="I69" s="2">
        <v>554000126932</v>
      </c>
      <c r="J69" s="1" t="s">
        <v>212</v>
      </c>
      <c r="K69" s="1">
        <v>16062243</v>
      </c>
      <c r="L69" s="1" t="s">
        <v>34</v>
      </c>
      <c r="M69">
        <v>1154497846</v>
      </c>
      <c r="O69">
        <f t="shared" si="4"/>
        <v>194074.49309419014</v>
      </c>
      <c r="P69">
        <f t="shared" si="5"/>
        <v>21563.832566021127</v>
      </c>
      <c r="Q69" s="6">
        <v>46076</v>
      </c>
      <c r="R69" s="6"/>
      <c r="V69" s="5">
        <v>46325</v>
      </c>
      <c r="W69" s="5"/>
      <c r="AC69" s="1">
        <v>2026</v>
      </c>
    </row>
    <row r="70" spans="1:29" hidden="1" x14ac:dyDescent="0.25">
      <c r="A70" s="1">
        <v>56674</v>
      </c>
      <c r="B70" s="1" t="s">
        <v>225</v>
      </c>
      <c r="C70" s="1" t="s">
        <v>60</v>
      </c>
      <c r="D70" s="1" t="s">
        <v>226</v>
      </c>
      <c r="E70" s="1">
        <v>45</v>
      </c>
      <c r="F70" s="1" t="s">
        <v>227</v>
      </c>
      <c r="G70" s="1" t="s">
        <v>32</v>
      </c>
      <c r="H70" s="1">
        <v>152010.7365903756</v>
      </c>
      <c r="I70" s="2">
        <v>554000126919</v>
      </c>
      <c r="J70" s="1" t="s">
        <v>228</v>
      </c>
      <c r="K70" s="1">
        <v>16062243</v>
      </c>
      <c r="L70" s="1" t="s">
        <v>34</v>
      </c>
      <c r="M70">
        <v>1154497846</v>
      </c>
      <c r="O70">
        <f t="shared" si="4"/>
        <v>136809.66293133804</v>
      </c>
      <c r="P70">
        <f t="shared" si="5"/>
        <v>15201.07365903756</v>
      </c>
      <c r="Q70" s="6">
        <v>46076</v>
      </c>
      <c r="R70" s="6"/>
      <c r="V70" s="5">
        <v>46325</v>
      </c>
      <c r="W70" s="5"/>
      <c r="AC70" s="1">
        <v>2026</v>
      </c>
    </row>
    <row r="71" spans="1:29" hidden="1" x14ac:dyDescent="0.25">
      <c r="A71" s="1">
        <v>57124</v>
      </c>
      <c r="B71" s="1" t="s">
        <v>249</v>
      </c>
      <c r="C71" s="1" t="s">
        <v>250</v>
      </c>
      <c r="D71" s="1" t="s">
        <v>243</v>
      </c>
      <c r="E71" s="1">
        <v>45</v>
      </c>
      <c r="F71" s="1" t="s">
        <v>193</v>
      </c>
      <c r="G71" s="1" t="s">
        <v>32</v>
      </c>
      <c r="H71" s="1">
        <v>123141.43364143193</v>
      </c>
      <c r="I71" s="2">
        <v>554000126933</v>
      </c>
      <c r="J71" s="1" t="s">
        <v>251</v>
      </c>
      <c r="K71" s="1">
        <v>16062243</v>
      </c>
      <c r="L71" s="1" t="s">
        <v>34</v>
      </c>
      <c r="M71">
        <v>1154497846</v>
      </c>
      <c r="O71">
        <f t="shared" si="4"/>
        <v>110827.29027728873</v>
      </c>
      <c r="P71">
        <f t="shared" si="5"/>
        <v>12314.143364143194</v>
      </c>
      <c r="Q71" s="6">
        <v>46076</v>
      </c>
      <c r="R71" s="6"/>
      <c r="V71" s="5">
        <v>46325</v>
      </c>
      <c r="W71" s="5"/>
      <c r="AC71" s="1">
        <v>2026</v>
      </c>
    </row>
    <row r="72" spans="1:29" x14ac:dyDescent="0.25">
      <c r="A72" s="7">
        <v>57557</v>
      </c>
      <c r="B72" s="1" t="s">
        <v>271</v>
      </c>
      <c r="C72" s="1" t="s">
        <v>272</v>
      </c>
      <c r="D72" s="1" t="s">
        <v>136</v>
      </c>
      <c r="E72" s="1">
        <v>103</v>
      </c>
      <c r="F72" s="1" t="s">
        <v>216</v>
      </c>
      <c r="G72" s="1" t="s">
        <v>53</v>
      </c>
      <c r="H72" s="1">
        <v>79950</v>
      </c>
      <c r="I72" s="2">
        <v>554000126969</v>
      </c>
      <c r="J72" s="1" t="s">
        <v>273</v>
      </c>
      <c r="K72" s="1">
        <v>16037570</v>
      </c>
      <c r="L72" s="1" t="s">
        <v>55</v>
      </c>
      <c r="M72" s="1">
        <v>1154496572</v>
      </c>
      <c r="O72">
        <f t="shared" si="4"/>
        <v>71955</v>
      </c>
      <c r="P72">
        <f t="shared" si="5"/>
        <v>7995</v>
      </c>
      <c r="Q72" s="6">
        <v>46076</v>
      </c>
      <c r="R72" s="6">
        <v>46127</v>
      </c>
      <c r="S72" s="1" t="s">
        <v>44</v>
      </c>
      <c r="T72" s="6">
        <v>46133</v>
      </c>
      <c r="U72" s="6">
        <v>46162</v>
      </c>
      <c r="V72" s="5">
        <v>46204</v>
      </c>
      <c r="W72" s="5"/>
      <c r="X72" t="s">
        <v>45</v>
      </c>
      <c r="AA72" s="1">
        <v>128</v>
      </c>
      <c r="AC72" s="1">
        <v>2026</v>
      </c>
    </row>
    <row r="73" spans="1:29" x14ac:dyDescent="0.25">
      <c r="A73" s="7">
        <v>57562</v>
      </c>
      <c r="B73" s="1" t="s">
        <v>274</v>
      </c>
      <c r="C73" s="1" t="s">
        <v>275</v>
      </c>
      <c r="D73" s="1" t="s">
        <v>215</v>
      </c>
      <c r="E73" s="1">
        <v>103</v>
      </c>
      <c r="F73" s="1" t="s">
        <v>216</v>
      </c>
      <c r="G73" s="1" t="s">
        <v>217</v>
      </c>
      <c r="H73" s="1">
        <v>58073.9</v>
      </c>
      <c r="I73" s="2">
        <v>554000126970</v>
      </c>
      <c r="J73" s="1" t="s">
        <v>276</v>
      </c>
      <c r="K73" s="1">
        <v>16097603</v>
      </c>
      <c r="L73" s="1" t="s">
        <v>219</v>
      </c>
      <c r="M73">
        <v>1154497721</v>
      </c>
      <c r="O73">
        <f t="shared" si="4"/>
        <v>52266.51</v>
      </c>
      <c r="P73">
        <f t="shared" si="5"/>
        <v>5807.39</v>
      </c>
      <c r="Q73" s="6">
        <v>46062</v>
      </c>
      <c r="R73" s="6">
        <v>46113</v>
      </c>
      <c r="S73" s="1" t="s">
        <v>220</v>
      </c>
      <c r="V73" s="5">
        <v>46266</v>
      </c>
      <c r="W73" s="5"/>
      <c r="X73" t="s">
        <v>45</v>
      </c>
      <c r="AC73" s="1">
        <v>2026</v>
      </c>
    </row>
    <row r="74" spans="1:29" hidden="1" x14ac:dyDescent="0.25">
      <c r="A74" s="1">
        <v>57129</v>
      </c>
      <c r="B74" s="1" t="s">
        <v>255</v>
      </c>
      <c r="C74" s="1" t="s">
        <v>250</v>
      </c>
      <c r="D74" s="1" t="s">
        <v>256</v>
      </c>
      <c r="E74" s="1">
        <v>45</v>
      </c>
      <c r="F74" s="1" t="s">
        <v>193</v>
      </c>
      <c r="G74" s="1" t="s">
        <v>32</v>
      </c>
      <c r="H74" s="1">
        <v>116755.87026115024</v>
      </c>
      <c r="I74" s="2">
        <v>554000126935</v>
      </c>
      <c r="J74" s="1" t="s">
        <v>257</v>
      </c>
      <c r="K74" s="1">
        <v>16062243</v>
      </c>
      <c r="L74" s="1" t="s">
        <v>34</v>
      </c>
      <c r="M74">
        <v>1154497846</v>
      </c>
      <c r="O74">
        <f t="shared" si="4"/>
        <v>105080.28323503521</v>
      </c>
      <c r="P74">
        <f t="shared" si="5"/>
        <v>11675.587026115025</v>
      </c>
      <c r="Q74" s="6">
        <v>46076</v>
      </c>
      <c r="R74" s="6"/>
      <c r="V74" s="5">
        <v>46325</v>
      </c>
      <c r="W74" s="5"/>
      <c r="AC74" s="1">
        <v>2026</v>
      </c>
    </row>
    <row r="75" spans="1:29" hidden="1" x14ac:dyDescent="0.25">
      <c r="A75" s="1">
        <v>57170</v>
      </c>
      <c r="B75" s="1" t="s">
        <v>264</v>
      </c>
      <c r="C75" s="1" t="s">
        <v>81</v>
      </c>
      <c r="D75" s="1" t="s">
        <v>265</v>
      </c>
      <c r="E75" s="1">
        <v>45</v>
      </c>
      <c r="F75" s="1" t="s">
        <v>227</v>
      </c>
      <c r="G75" s="1" t="s">
        <v>32</v>
      </c>
      <c r="H75" s="1">
        <v>147646.12847711271</v>
      </c>
      <c r="I75" s="2">
        <v>554000126924</v>
      </c>
      <c r="J75" s="1" t="s">
        <v>266</v>
      </c>
      <c r="K75" s="1">
        <v>16062243</v>
      </c>
      <c r="L75" s="1" t="s">
        <v>34</v>
      </c>
      <c r="M75">
        <v>1154497846</v>
      </c>
      <c r="O75">
        <f t="shared" si="4"/>
        <v>132881.51562940143</v>
      </c>
      <c r="P75">
        <f t="shared" si="5"/>
        <v>14764.612847711272</v>
      </c>
      <c r="Q75" s="6">
        <v>46076</v>
      </c>
      <c r="R75" s="6"/>
      <c r="V75" s="5">
        <v>46325</v>
      </c>
      <c r="W75" s="5"/>
      <c r="AC75" s="1">
        <v>2026</v>
      </c>
    </row>
    <row r="76" spans="1:29" hidden="1" x14ac:dyDescent="0.25">
      <c r="A76" s="1">
        <v>56082</v>
      </c>
      <c r="B76" s="1" t="s">
        <v>182</v>
      </c>
      <c r="C76" s="1" t="s">
        <v>183</v>
      </c>
      <c r="D76" s="1" t="s">
        <v>184</v>
      </c>
      <c r="E76" s="1">
        <v>45</v>
      </c>
      <c r="F76" s="1" t="s">
        <v>176</v>
      </c>
      <c r="G76" s="1" t="s">
        <v>32</v>
      </c>
      <c r="H76" s="1">
        <v>227586.27166960094</v>
      </c>
      <c r="I76" s="2">
        <v>554000126910</v>
      </c>
      <c r="J76" s="1" t="s">
        <v>185</v>
      </c>
      <c r="K76" s="1">
        <v>16062243</v>
      </c>
      <c r="L76" s="1" t="s">
        <v>34</v>
      </c>
      <c r="M76">
        <v>1154497846</v>
      </c>
      <c r="O76">
        <f t="shared" si="4"/>
        <v>204827.64450264085</v>
      </c>
      <c r="P76">
        <f t="shared" si="5"/>
        <v>22758.627166960097</v>
      </c>
      <c r="Q76" s="6">
        <v>46076</v>
      </c>
      <c r="R76" s="6"/>
      <c r="V76" s="5">
        <v>46356</v>
      </c>
      <c r="W76" s="5"/>
      <c r="AC76" s="1">
        <v>2026</v>
      </c>
    </row>
    <row r="77" spans="1:29" hidden="1" x14ac:dyDescent="0.25">
      <c r="A77" s="1">
        <v>56109</v>
      </c>
      <c r="B77" s="1" t="s">
        <v>186</v>
      </c>
      <c r="C77" s="1" t="s">
        <v>187</v>
      </c>
      <c r="D77" s="1" t="s">
        <v>188</v>
      </c>
      <c r="E77" s="1">
        <v>45</v>
      </c>
      <c r="F77" s="1" t="s">
        <v>176</v>
      </c>
      <c r="G77" s="1" t="s">
        <v>32</v>
      </c>
      <c r="H77" s="1">
        <v>255245.54162265261</v>
      </c>
      <c r="I77" s="2">
        <v>554000126911</v>
      </c>
      <c r="J77" s="1" t="s">
        <v>189</v>
      </c>
      <c r="K77" s="1">
        <v>16062243</v>
      </c>
      <c r="L77" s="1" t="s">
        <v>34</v>
      </c>
      <c r="M77">
        <v>1154497846</v>
      </c>
      <c r="O77">
        <f t="shared" si="4"/>
        <v>229720.98746038735</v>
      </c>
      <c r="P77">
        <f t="shared" si="5"/>
        <v>25524.554162265264</v>
      </c>
      <c r="Q77" s="6">
        <v>46076</v>
      </c>
      <c r="R77" s="6"/>
      <c r="V77" s="5">
        <v>46356</v>
      </c>
      <c r="W77" s="5"/>
      <c r="AC77" s="1">
        <v>2026</v>
      </c>
    </row>
    <row r="78" spans="1:29" hidden="1" x14ac:dyDescent="0.25">
      <c r="A78" s="1">
        <v>56120</v>
      </c>
      <c r="B78" s="1" t="s">
        <v>190</v>
      </c>
      <c r="C78" s="1" t="s">
        <v>191</v>
      </c>
      <c r="D78" s="1" t="s">
        <v>192</v>
      </c>
      <c r="E78" s="1">
        <v>45</v>
      </c>
      <c r="F78" s="1" t="s">
        <v>193</v>
      </c>
      <c r="G78" s="1" t="s">
        <v>32</v>
      </c>
      <c r="H78" s="1">
        <v>91147.457115610334</v>
      </c>
      <c r="I78" s="2">
        <v>554000126925</v>
      </c>
      <c r="J78" s="1" t="s">
        <v>194</v>
      </c>
      <c r="K78" s="1">
        <v>16062243</v>
      </c>
      <c r="L78" s="1" t="s">
        <v>34</v>
      </c>
      <c r="M78">
        <v>1154497846</v>
      </c>
      <c r="O78">
        <f t="shared" si="4"/>
        <v>82032.711404049303</v>
      </c>
      <c r="P78">
        <f t="shared" si="5"/>
        <v>9114.7457115610341</v>
      </c>
      <c r="Q78" s="6">
        <v>46076</v>
      </c>
      <c r="R78" s="6"/>
      <c r="V78" s="5">
        <v>46356</v>
      </c>
      <c r="W78" s="5"/>
      <c r="AC78" s="1">
        <v>2026</v>
      </c>
    </row>
    <row r="79" spans="1:29" hidden="1" x14ac:dyDescent="0.25">
      <c r="A79" s="1">
        <v>56139</v>
      </c>
      <c r="B79" s="1" t="s">
        <v>205</v>
      </c>
      <c r="C79" s="1" t="s">
        <v>206</v>
      </c>
      <c r="D79" s="1" t="s">
        <v>207</v>
      </c>
      <c r="E79" s="1">
        <v>45</v>
      </c>
      <c r="F79" s="1" t="s">
        <v>208</v>
      </c>
      <c r="G79" s="1" t="s">
        <v>32</v>
      </c>
      <c r="H79" s="1">
        <v>140154.344439554</v>
      </c>
      <c r="I79" s="2">
        <v>554000126938</v>
      </c>
      <c r="J79" s="1" t="s">
        <v>209</v>
      </c>
      <c r="K79" s="1">
        <v>16062243</v>
      </c>
      <c r="L79" s="1" t="s">
        <v>34</v>
      </c>
      <c r="M79">
        <v>1154497846</v>
      </c>
      <c r="O79">
        <f t="shared" si="4"/>
        <v>126138.9099955986</v>
      </c>
      <c r="P79">
        <f t="shared" si="5"/>
        <v>14015.434443955401</v>
      </c>
      <c r="Q79" s="6">
        <v>46076</v>
      </c>
      <c r="R79" s="6"/>
      <c r="V79" s="5">
        <v>46356</v>
      </c>
      <c r="W79" s="5"/>
      <c r="AC79" s="1">
        <v>2026</v>
      </c>
    </row>
    <row r="80" spans="1:29" hidden="1" x14ac:dyDescent="0.25">
      <c r="A80" s="1">
        <v>56711</v>
      </c>
      <c r="B80" s="1" t="s">
        <v>229</v>
      </c>
      <c r="C80" s="1" t="s">
        <v>91</v>
      </c>
      <c r="D80" s="1" t="s">
        <v>230</v>
      </c>
      <c r="E80" s="1">
        <v>45</v>
      </c>
      <c r="F80" s="1" t="s">
        <v>227</v>
      </c>
      <c r="G80" s="1" t="s">
        <v>32</v>
      </c>
      <c r="H80" s="1">
        <v>144172.38199823943</v>
      </c>
      <c r="I80" s="2">
        <v>554000126922</v>
      </c>
      <c r="J80" s="1" t="s">
        <v>231</v>
      </c>
      <c r="K80" s="1">
        <v>16062243</v>
      </c>
      <c r="L80" s="1" t="s">
        <v>34</v>
      </c>
      <c r="M80">
        <v>1154497846</v>
      </c>
      <c r="O80">
        <f t="shared" si="4"/>
        <v>129755.14379841549</v>
      </c>
      <c r="P80">
        <f t="shared" si="5"/>
        <v>14417.238199823943</v>
      </c>
      <c r="Q80" s="6">
        <v>46076</v>
      </c>
      <c r="R80" s="6"/>
      <c r="V80" s="5">
        <v>46356</v>
      </c>
      <c r="W80" s="5"/>
      <c r="AC80" s="1">
        <v>2026</v>
      </c>
    </row>
    <row r="81" spans="1:29" hidden="1" x14ac:dyDescent="0.25">
      <c r="A81" s="1">
        <v>57107</v>
      </c>
      <c r="B81" s="1" t="s">
        <v>238</v>
      </c>
      <c r="C81" s="1" t="s">
        <v>135</v>
      </c>
      <c r="D81" s="1" t="s">
        <v>239</v>
      </c>
      <c r="E81" s="1">
        <v>45</v>
      </c>
      <c r="F81" s="1" t="s">
        <v>176</v>
      </c>
      <c r="G81" s="1" t="s">
        <v>32</v>
      </c>
      <c r="H81" s="1">
        <v>172659.65429870892</v>
      </c>
      <c r="I81" s="2">
        <v>554000126912</v>
      </c>
      <c r="J81" s="1" t="s">
        <v>240</v>
      </c>
      <c r="K81" s="1">
        <v>16062243</v>
      </c>
      <c r="L81" s="1" t="s">
        <v>34</v>
      </c>
      <c r="M81">
        <v>1154497846</v>
      </c>
      <c r="O81">
        <f t="shared" si="4"/>
        <v>155393.68886883804</v>
      </c>
      <c r="P81">
        <f t="shared" si="5"/>
        <v>17265.965429870892</v>
      </c>
      <c r="Q81" s="6">
        <v>46076</v>
      </c>
      <c r="R81" s="6"/>
      <c r="V81" s="5">
        <v>46356</v>
      </c>
      <c r="W81" s="5"/>
      <c r="AC81" s="1">
        <v>2026</v>
      </c>
    </row>
    <row r="82" spans="1:29" hidden="1" x14ac:dyDescent="0.25">
      <c r="A82" s="1">
        <v>57109</v>
      </c>
      <c r="B82" s="1" t="s">
        <v>241</v>
      </c>
      <c r="C82" s="1" t="s">
        <v>242</v>
      </c>
      <c r="D82" s="1" t="s">
        <v>243</v>
      </c>
      <c r="E82" s="1">
        <v>45</v>
      </c>
      <c r="F82" s="1" t="s">
        <v>176</v>
      </c>
      <c r="G82" s="1" t="s">
        <v>32</v>
      </c>
      <c r="H82" s="1">
        <v>159749.76932218313</v>
      </c>
      <c r="I82" s="2">
        <v>554000126913</v>
      </c>
      <c r="J82" s="1" t="s">
        <v>244</v>
      </c>
      <c r="K82" s="1">
        <v>16062243</v>
      </c>
      <c r="L82" s="1" t="s">
        <v>34</v>
      </c>
      <c r="M82">
        <v>1154497846</v>
      </c>
      <c r="O82">
        <f t="shared" si="4"/>
        <v>143774.79238996483</v>
      </c>
      <c r="P82">
        <f t="shared" si="5"/>
        <v>15974.976932218313</v>
      </c>
      <c r="Q82" s="6">
        <v>46076</v>
      </c>
      <c r="R82" s="6"/>
      <c r="V82" s="5">
        <v>46356</v>
      </c>
      <c r="W82" s="5"/>
      <c r="AC82" s="1">
        <v>2026</v>
      </c>
    </row>
    <row r="83" spans="1:29" hidden="1" x14ac:dyDescent="0.25">
      <c r="A83" s="1">
        <v>57128</v>
      </c>
      <c r="B83" s="1" t="s">
        <v>252</v>
      </c>
      <c r="C83" s="1" t="s">
        <v>253</v>
      </c>
      <c r="D83" s="1" t="s">
        <v>130</v>
      </c>
      <c r="E83" s="1">
        <v>45</v>
      </c>
      <c r="F83" s="1" t="s">
        <v>193</v>
      </c>
      <c r="G83" s="1" t="s">
        <v>32</v>
      </c>
      <c r="H83" s="1">
        <v>118255.34091842726</v>
      </c>
      <c r="I83" s="2">
        <v>554000126934</v>
      </c>
      <c r="J83" s="1" t="s">
        <v>254</v>
      </c>
      <c r="K83" s="1">
        <v>16062243</v>
      </c>
      <c r="L83" s="1" t="s">
        <v>34</v>
      </c>
      <c r="M83">
        <v>1154497846</v>
      </c>
      <c r="O83">
        <f t="shared" si="4"/>
        <v>106429.80682658454</v>
      </c>
      <c r="P83">
        <f t="shared" si="5"/>
        <v>11825.534091842726</v>
      </c>
      <c r="Q83" s="6">
        <v>46076</v>
      </c>
      <c r="R83" s="6"/>
      <c r="V83" s="5">
        <v>46356</v>
      </c>
      <c r="W83" s="5"/>
      <c r="AC83" s="1">
        <v>2026</v>
      </c>
    </row>
    <row r="84" spans="1:29" hidden="1" x14ac:dyDescent="0.25">
      <c r="A84" s="1">
        <v>57314</v>
      </c>
      <c r="B84" s="1" t="s">
        <v>267</v>
      </c>
      <c r="C84" s="1" t="s">
        <v>268</v>
      </c>
      <c r="D84" s="1" t="s">
        <v>130</v>
      </c>
      <c r="E84" s="1">
        <v>45</v>
      </c>
      <c r="F84" s="1" t="s">
        <v>269</v>
      </c>
      <c r="G84" s="1" t="s">
        <v>32</v>
      </c>
      <c r="H84" s="1">
        <v>72054.302186032859</v>
      </c>
      <c r="I84" s="2">
        <v>554000126906</v>
      </c>
      <c r="J84" s="1" t="s">
        <v>270</v>
      </c>
      <c r="K84" s="1">
        <v>16062243</v>
      </c>
      <c r="L84" s="1" t="s">
        <v>34</v>
      </c>
      <c r="M84">
        <v>1154497846</v>
      </c>
      <c r="O84">
        <f t="shared" si="4"/>
        <v>64848.871967429572</v>
      </c>
      <c r="P84">
        <f t="shared" si="5"/>
        <v>7205.4302186032864</v>
      </c>
      <c r="Q84" s="6">
        <v>46076</v>
      </c>
      <c r="R84" s="6"/>
      <c r="V84" s="5">
        <v>46356</v>
      </c>
      <c r="W84" s="5"/>
      <c r="AC84" s="1">
        <v>2026</v>
      </c>
    </row>
    <row r="85" spans="1:29" x14ac:dyDescent="0.25">
      <c r="A85" s="7">
        <v>59781</v>
      </c>
      <c r="B85" s="1" t="s">
        <v>307</v>
      </c>
      <c r="C85" s="1" t="s">
        <v>308</v>
      </c>
      <c r="D85" s="1" t="s">
        <v>309</v>
      </c>
      <c r="E85" s="1">
        <v>21</v>
      </c>
      <c r="F85" s="1" t="s">
        <v>310</v>
      </c>
      <c r="G85" s="1" t="s">
        <v>41</v>
      </c>
      <c r="H85" s="1">
        <v>47123.65</v>
      </c>
      <c r="I85" s="2">
        <v>554000126907</v>
      </c>
      <c r="J85" s="1" t="s">
        <v>311</v>
      </c>
      <c r="K85" s="1">
        <v>15655464</v>
      </c>
      <c r="L85" s="1" t="s">
        <v>43</v>
      </c>
      <c r="M85" s="1">
        <v>1154497375</v>
      </c>
      <c r="O85">
        <f t="shared" si="4"/>
        <v>42411.285000000003</v>
      </c>
      <c r="P85">
        <f t="shared" si="5"/>
        <v>4712.3650000000007</v>
      </c>
      <c r="Q85" s="6">
        <v>46076</v>
      </c>
      <c r="R85" s="6">
        <v>46111</v>
      </c>
      <c r="S85" s="1" t="s">
        <v>44</v>
      </c>
      <c r="T85" s="6">
        <v>46203</v>
      </c>
      <c r="V85" s="5">
        <v>46235</v>
      </c>
      <c r="W85" s="5"/>
      <c r="X85" t="s">
        <v>45</v>
      </c>
      <c r="AC85" s="1">
        <v>2026</v>
      </c>
    </row>
    <row r="86" spans="1:29" hidden="1" x14ac:dyDescent="0.25">
      <c r="A86" s="1">
        <v>60149</v>
      </c>
      <c r="B86" s="1" t="s">
        <v>312</v>
      </c>
      <c r="C86" s="1" t="s">
        <v>313</v>
      </c>
      <c r="D86" s="1" t="s">
        <v>130</v>
      </c>
      <c r="E86" s="1">
        <v>46</v>
      </c>
      <c r="F86" s="1" t="s">
        <v>314</v>
      </c>
      <c r="G86" s="1" t="s">
        <v>32</v>
      </c>
      <c r="H86" s="1">
        <v>39405.776995305168</v>
      </c>
      <c r="I86" s="2">
        <v>554000126814</v>
      </c>
      <c r="J86" s="1" t="s">
        <v>315</v>
      </c>
      <c r="K86" s="1">
        <v>16062243</v>
      </c>
      <c r="L86" s="1" t="s">
        <v>34</v>
      </c>
      <c r="M86">
        <v>1154497846</v>
      </c>
      <c r="O86">
        <f t="shared" si="4"/>
        <v>35465.199295774655</v>
      </c>
      <c r="P86">
        <f t="shared" si="5"/>
        <v>3940.5776995305168</v>
      </c>
      <c r="Q86" s="6">
        <v>46076</v>
      </c>
      <c r="R86" s="6"/>
      <c r="V86" s="5">
        <v>46356</v>
      </c>
      <c r="W86" s="5"/>
      <c r="AC86" s="1">
        <v>2026</v>
      </c>
    </row>
    <row r="87" spans="1:29" x14ac:dyDescent="0.25">
      <c r="A87" s="7">
        <v>60248</v>
      </c>
      <c r="B87" s="1" t="s">
        <v>316</v>
      </c>
      <c r="C87" s="1" t="s">
        <v>317</v>
      </c>
      <c r="D87" s="1" t="s">
        <v>318</v>
      </c>
      <c r="E87" s="1">
        <v>44</v>
      </c>
      <c r="F87" s="1" t="s">
        <v>319</v>
      </c>
      <c r="G87" s="1" t="s">
        <v>217</v>
      </c>
      <c r="H87" s="1">
        <v>9582.14</v>
      </c>
      <c r="I87" s="2">
        <v>554000126964</v>
      </c>
      <c r="J87" s="1" t="s">
        <v>320</v>
      </c>
      <c r="K87" s="1">
        <v>16097603</v>
      </c>
      <c r="L87" s="1" t="s">
        <v>219</v>
      </c>
      <c r="M87">
        <v>1154497721</v>
      </c>
      <c r="O87">
        <f t="shared" ref="O87:O88" si="6">0.9*H87</f>
        <v>8623.9259999999995</v>
      </c>
      <c r="P87">
        <f t="shared" ref="P87:P88" si="7">0.1*H87</f>
        <v>958.21399999999994</v>
      </c>
      <c r="Q87" s="6">
        <v>46062</v>
      </c>
      <c r="R87" s="6">
        <v>46113</v>
      </c>
      <c r="S87" s="1" t="s">
        <v>220</v>
      </c>
      <c r="V87" s="5">
        <v>46357</v>
      </c>
      <c r="W87" s="5"/>
      <c r="X87" t="s">
        <v>45</v>
      </c>
      <c r="AC87" s="1">
        <v>2026</v>
      </c>
    </row>
    <row r="88" spans="1:29" x14ac:dyDescent="0.25">
      <c r="A88" s="7" t="s">
        <v>321</v>
      </c>
      <c r="B88" s="1" t="s">
        <v>322</v>
      </c>
      <c r="C88" s="1" t="s">
        <v>323</v>
      </c>
      <c r="D88" s="1" t="s">
        <v>82</v>
      </c>
      <c r="E88" s="1">
        <v>21</v>
      </c>
      <c r="F88" s="1" t="s">
        <v>31</v>
      </c>
      <c r="G88" s="1" t="s">
        <v>53</v>
      </c>
      <c r="H88" s="1">
        <v>50000</v>
      </c>
      <c r="I88" s="2">
        <v>554000126900</v>
      </c>
      <c r="J88" s="1" t="s">
        <v>324</v>
      </c>
      <c r="K88" s="1">
        <v>16037570</v>
      </c>
      <c r="L88" s="1" t="s">
        <v>55</v>
      </c>
      <c r="M88" s="1">
        <v>1154496572</v>
      </c>
      <c r="N88" t="s">
        <v>84</v>
      </c>
      <c r="O88">
        <f t="shared" si="6"/>
        <v>45000</v>
      </c>
      <c r="P88">
        <f t="shared" si="7"/>
        <v>5000</v>
      </c>
      <c r="Q88" s="6">
        <v>46076</v>
      </c>
      <c r="R88" s="6">
        <v>46127</v>
      </c>
      <c r="S88" s="1" t="s">
        <v>44</v>
      </c>
      <c r="T88" s="6">
        <v>46133</v>
      </c>
      <c r="U88" s="6">
        <v>46162</v>
      </c>
      <c r="V88" s="5">
        <v>46204</v>
      </c>
      <c r="W88" s="12">
        <v>46233</v>
      </c>
      <c r="X88" t="s">
        <v>45</v>
      </c>
      <c r="AC88" s="1">
        <v>2026</v>
      </c>
    </row>
    <row r="96" spans="1:29" x14ac:dyDescent="0.25">
      <c r="U96"/>
    </row>
  </sheetData>
  <autoFilter ref="A1:AC88" xr:uid="{E52197AA-FBD2-47FE-80EB-DE64B9391F5E}">
    <filterColumn colId="18">
      <customFilters>
        <customFilter operator="notEqual" val=" "/>
      </customFilters>
    </filterColumn>
  </autoFilter>
  <conditionalFormatting sqref="I2:I17">
    <cfRule type="duplicateValues" dxfId="0" priority="1"/>
  </conditionalFormatting>
  <dataValidations count="1">
    <dataValidation type="date" allowBlank="1" showInputMessage="1" showErrorMessage="1" prompt="APENAS DATAS CORRESPONDENTES AO ANO DE 2026" sqref="Q2:Q88" xr:uid="{3342B631-32B4-4E45-B8DA-BF04D41EC60C}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A9E4EE-06EF-42CD-B20F-DA2BB7F93613}">
          <x14:formula1>
            <xm:f>Planilha1!$A$1:$A$3</xm:f>
          </x14:formula1>
          <xm:sqref>S2:S88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2288-7163-49F6-881D-6FC5B09ECC3E}">
  <dimension ref="A1:A3"/>
  <sheetViews>
    <sheetView workbookViewId="0">
      <selection activeCell="A4" sqref="A4"/>
    </sheetView>
  </sheetViews>
  <sheetFormatPr defaultRowHeight="15" x14ac:dyDescent="0.25"/>
  <cols>
    <col min="1" max="1" width="31.5703125" customWidth="1"/>
  </cols>
  <sheetData>
    <row r="1" spans="1:1" x14ac:dyDescent="0.25">
      <c r="A1" t="s">
        <v>44</v>
      </c>
    </row>
    <row r="2" spans="1:1" x14ac:dyDescent="0.25">
      <c r="A2" t="s">
        <v>220</v>
      </c>
    </row>
    <row r="3" spans="1:1" x14ac:dyDescent="0.25">
      <c r="A3" t="s">
        <v>281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05e3d8-d8d5-4541-b2a3-8b95fc252d47" xsi:nil="true"/>
    <lcf76f155ced4ddcb4097134ff3c332f xmlns="e1444640-1704-4740-84e7-3deb67c3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9A1789724BA41AC2A0EB14D4C6ED2" ma:contentTypeVersion="13" ma:contentTypeDescription="Create a new document." ma:contentTypeScope="" ma:versionID="a70dbe9b7d01bc8f622daba44dc652c9">
  <xsd:schema xmlns:xsd="http://www.w3.org/2001/XMLSchema" xmlns:xs="http://www.w3.org/2001/XMLSchema" xmlns:p="http://schemas.microsoft.com/office/2006/metadata/properties" xmlns:ns2="e1444640-1704-4740-84e7-3deb67c3a4cc" xmlns:ns3="d805e3d8-d8d5-4541-b2a3-8b95fc252d47" targetNamespace="http://schemas.microsoft.com/office/2006/metadata/properties" ma:root="true" ma:fieldsID="863dfabdbc2e8d1c3996c6f32218406c" ns2:_="" ns3:_="">
    <xsd:import namespace="e1444640-1704-4740-84e7-3deb67c3a4cc"/>
    <xsd:import namespace="d805e3d8-d8d5-4541-b2a3-8b95fc252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44640-1704-4740-84e7-3deb67c3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99af8e8-aa77-48fe-9061-5a9da22cf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5e3d8-d8d5-4541-b2a3-8b95fc252d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80f575-526b-4769-9d95-9a91e0902a35}" ma:internalName="TaxCatchAll" ma:showField="CatchAllData" ma:web="d805e3d8-d8d5-4541-b2a3-8b95fc252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B49638-E5A0-4705-BEF2-D58A1FEED0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CD381-B254-4EAF-988F-2FED46806CF0}">
  <ds:schemaRefs>
    <ds:schemaRef ds:uri="http://schemas.microsoft.com/office/2006/metadata/properties"/>
    <ds:schemaRef ds:uri="http://schemas.microsoft.com/office/infopath/2007/PartnerControls"/>
    <ds:schemaRef ds:uri="d805e3d8-d8d5-4541-b2a3-8b95fc252d47"/>
    <ds:schemaRef ds:uri="e1444640-1704-4740-84e7-3deb67c3a4cc"/>
  </ds:schemaRefs>
</ds:datastoreItem>
</file>

<file path=customXml/itemProps3.xml><?xml version="1.0" encoding="utf-8"?>
<ds:datastoreItem xmlns:ds="http://schemas.openxmlformats.org/officeDocument/2006/customXml" ds:itemID="{4BA7182F-C6AB-4192-8353-B82368E00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444640-1704-4740-84e7-3deb67c3a4cc"/>
    <ds:schemaRef ds:uri="d805e3d8-d8d5-4541-b2a3-8b95fc252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NR12 2026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CAMPOS, VITORIA (154)</cp:lastModifiedBy>
  <cp:revision/>
  <dcterms:created xsi:type="dcterms:W3CDTF">2026-01-28T12:29:36Z</dcterms:created>
  <dcterms:modified xsi:type="dcterms:W3CDTF">2026-07-24T16:47:34Z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0x010100B819A1789724BA41AC2A0EB14D4C6ED2</vt:lpwstr>
  </property>
  <property fmtid="{D5CDD505-2E9C-101B-9397-08002B2CF9AE}" pid="3" name="MediaServiceImageTags">
    <vt:lpwstr/>
  </property>
</Properties>
</file>